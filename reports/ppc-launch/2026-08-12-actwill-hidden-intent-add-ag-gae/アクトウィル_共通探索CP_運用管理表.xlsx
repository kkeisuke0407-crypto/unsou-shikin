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a28f838d947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運用サマリー" sheetId="1" r:id="R2b7f9adf821e48f7"/>
    <x:sheet xmlns:r="http://schemas.openxmlformats.org/officeDocument/2006/relationships" name="KW管理" sheetId="2" r:id="R61ab4368df434215"/>
    <x:sheet xmlns:r="http://schemas.openxmlformats.org/officeDocument/2006/relationships" name="日次実績" sheetId="3" r:id="R225bc48856d74a38"/>
    <x:sheet xmlns:r="http://schemas.openxmlformats.org/officeDocument/2006/relationships" name="検索語句・除外" sheetId="4" r:id="Ref4a5e01896f4b6e"/>
    <x:sheet xmlns:r="http://schemas.openxmlformats.org/officeDocument/2006/relationships" name="広告文管理" sheetId="5" r:id="Rbe03aa79a4ba4379"/>
    <x:sheet xmlns:r="http://schemas.openxmlformats.org/officeDocument/2006/relationships" name="運用ルール" sheetId="6" r:id="R5fb882a31b614b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¥#,##0"/>
    <x:numFmt numFmtId="201" formatCode="0.0%"/>
    <x:numFmt numFmtId="202" formatCode="yyyy-mm-dd"/>
  </x:numFmts>
  <x:fonts count="12">
    <x:font>
      <x:sz val="11"/>
      <x:name val="Carlito"/>
    </x:font>
    <x:font>
      <x:b/>
      <x:sz val="16"/>
      <x:color rgb="FFFFFFFF"/>
      <x:name val="Carlito"/>
    </x:font>
    <x:font>
      <x:sz val="10"/>
      <x:color rgb="FF5E6B75"/>
      <x:name val="Carlito"/>
    </x:font>
    <x:font>
      <x:b/>
      <x:sz val="11"/>
      <x:color rgb="FFFFFFFF"/>
      <x:name val="Carlito"/>
    </x:font>
    <x:font>
      <x:b/>
      <x:sz val="14"/>
      <x:color rgb="FF0F2742"/>
      <x:name val="Carlito"/>
    </x:font>
    <x:font>
      <x:b/>
      <x:sz val="11"/>
      <x:color rgb="FF0F2742"/>
      <x:name val="Carlito"/>
    </x:font>
    <x:font>
      <x:b/>
      <x:sz val="16"/>
      <x:color rgb="FFFFFFFF"/>
      <x:name val="Aptos"/>
    </x:font>
    <x:font>
      <x:sz val="11"/>
      <x:name val="Aptos"/>
    </x:font>
    <x:font>
      <x:sz val="10"/>
      <x:color rgb="FF5E6B75"/>
      <x:name val="Aptos"/>
    </x:font>
    <x:font>
      <x:b/>
      <x:sz val="11"/>
      <x:color rgb="FFFFFFFF"/>
      <x:name val="Aptos"/>
    </x:font>
    <x:font>
      <x:b/>
      <x:sz val="14"/>
      <x:color rgb="FF0F2742"/>
      <x:name val="Aptos"/>
    </x:font>
    <x:font>
      <x:b/>
      <x:sz val="11"/>
      <x:color rgb="FF0F2742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EAF2FF"/>
      </x:patternFill>
    </x:fill>
    <x:fill>
      <x:patternFill patternType="solid">
        <x:fgColor rgb="FF007C80"/>
      </x:patternFill>
    </x:fill>
    <x:fill>
      <x:patternFill patternType="solid">
        <x:fgColor rgb="FFF4F6F8"/>
      </x:patternFill>
    </x:fill>
    <x:fill>
      <x:patternFill patternType="solid">
        <x:fgColor rgb="FFF97316"/>
      </x:patternFill>
    </x:fill>
    <x:fill>
      <x:patternFill patternType="solid">
        <x:fgColor rgb="FF1E5AA8"/>
      </x:patternFill>
    </x:fill>
    <x:fill>
      <x:patternFill patternType="solid">
        <x:fgColor rgb="FFEAF7EF"/>
      </x:patternFill>
    </x:fill>
    <x:fill>
      <x:patternFill patternType="solid">
        <x:fgColor rgb="FFE8F7F5"/>
      </x:patternFill>
    </x:fill>
    <x:fill>
      <x:patternFill patternType="solid">
        <x:fgColor rgb="FFFFF4CC"/>
      </x:patternFill>
    </x:fill>
  </x:fills>
  <x:borders count="10">
    <x:border/>
    <x:border>
      <x:left style="thin">
        <x:color rgb="FFD5DCE3"/>
      </x:left>
      <x:right style="thin">
        <x:color rgb="FFD5DCE3"/>
      </x:right>
      <x:top style="thin">
        <x:color rgb="FFD5DCE3"/>
      </x:top>
      <x:bottom style="thin">
        <x:color rgb="FFD5DCE3"/>
      </x:bottom>
    </x:border>
    <x:border>
      <x:right style="thin">
        <x:color rgb="FFD5DCE3"/>
      </x:right>
      <x:bottom style="thin">
        <x:color rgb="FFD5DCE3"/>
      </x:bottom>
    </x:border>
    <x:border>
      <x:left style="thin">
        <x:color rgb="FFD5DCE3"/>
      </x:left>
      <x:right style="thin">
        <x:color rgb="FFD5DCE3"/>
      </x:right>
      <x:bottom style="thin">
        <x:color rgb="FFD5DCE3"/>
      </x:bottom>
    </x:border>
    <x:border>
      <x:left style="thin">
        <x:color rgb="FFD5DCE3"/>
      </x:left>
      <x:bottom style="thin">
        <x:color rgb="FFD5DCE3"/>
      </x:bottom>
    </x:border>
    <x:border>
      <x:right style="thin">
        <x:color rgb="FFD5DCE3"/>
      </x:right>
      <x:top style="thin">
        <x:color rgb="FFD5DCE3"/>
      </x:top>
      <x:bottom style="thin">
        <x:color rgb="FFD5DCE3"/>
      </x:bottom>
    </x:border>
    <x:border>
      <x:left style="thin">
        <x:color rgb="FFD5DCE3"/>
      </x:left>
      <x:top style="thin">
        <x:color rgb="FFD5DCE3"/>
      </x:top>
      <x:bottom style="thin">
        <x:color rgb="FFD5DCE3"/>
      </x:bottom>
    </x:border>
    <x:border>
      <x:right style="thin">
        <x:color rgb="FFD5DCE3"/>
      </x:right>
      <x:top style="thin">
        <x:color rgb="FFD5DCE3"/>
      </x:top>
    </x:border>
    <x:border>
      <x:left style="thin">
        <x:color rgb="FFD5DCE3"/>
      </x:left>
      <x:right style="thin">
        <x:color rgb="FFD5DCE3"/>
      </x:right>
      <x:top style="thin">
        <x:color rgb="FFD5DCE3"/>
      </x:top>
    </x:border>
    <x:border>
      <x:left style="thin">
        <x:color rgb="FFD5DCE3"/>
      </x:left>
      <x:top style="thin">
        <x:color rgb="FFD5DCE3"/>
      </x:top>
    </x:border>
  </x:borders>
  <x:cellStyleXfs count="1">
    <x:xf numFmtId="0" fontId="0" fillId="0" borderId="0"/>
  </x:cellStyleXfs>
  <x:cellXfs count="1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200" fontId="4" fillId="8" borderId="1" xfId="0" applyNumberFormat="1" applyFont="1" applyFill="1" applyBorder="1" applyAlignment="1">
      <x:alignment horizontal="center"/>
    </x:xf>
    <x:xf numFmtId="201" fontId="4" fillId="8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200" fontId="5" fillId="3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horizontal="left" vertical="center"/>
    </x:xf>
    <x:xf numFmtId="0" fontId="9" fillId="4" borderId="0" xfId="0" applyNumberFormat="1" applyFont="1" applyFill="1" applyBorder="1" applyAlignment="1">
      <x:alignment horizontal="left"/>
    </x:xf>
    <x:xf numFmtId="0" fontId="9" fillId="6" borderId="0" xfId="0" applyNumberFormat="1" applyFont="1" applyFill="1" applyBorder="1" applyAlignment="1">
      <x:alignment horizontal="left"/>
    </x:xf>
    <x:xf numFmtId="0" fontId="7" fillId="5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0" fontId="10" fillId="8" borderId="1" xfId="0" applyNumberFormat="1" applyFont="1" applyFill="1" applyBorder="1" applyAlignment="1">
      <x:alignment horizontal="center"/>
    </x:xf>
    <x:xf numFmtId="0" fontId="10" fillId="8" borderId="1" xfId="0" applyNumberFormat="1" applyFont="1" applyFill="1" applyBorder="1" applyAlignment="1">
      <x:alignment horizontal="center"/>
    </x:xf>
    <x:xf numFmtId="201" fontId="10" fillId="8" borderId="1" xfId="0" applyNumberFormat="1" applyFont="1" applyFill="1" applyBorder="1" applyAlignment="1">
      <x:alignment horizontal="center"/>
    </x:xf>
    <x:xf numFmtId="0" fontId="11" fillId="3" borderId="1" xfId="0" applyNumberFormat="1" applyFont="1" applyFill="1" applyBorder="1" applyAlignment="1">
      <x:alignment horizontal="center" wrapText="1"/>
    </x:xf>
    <x:xf numFmtId="200" fontId="11" fillId="3" borderId="1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/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200" fontId="7" fillId="0" borderId="3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center" wrapText="1"/>
    </x:xf>
    <x:xf numFmtId="200" fontId="7" fillId="0" borderId="8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11" fillId="9" borderId="1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center" wrapText="1"/>
    </x:xf>
    <x:xf numFmtId="0" fontId="0" fillId="10" borderId="3" xfId="0" applyNumberFormat="1" applyFont="1" applyFill="1" applyBorder="1" applyAlignment="1">
      <x:alignment vertical="center" wrapText="1"/>
    </x:xf>
    <x:xf numFmtId="200" fontId="0" fillId="10" borderId="3" xfId="0" applyNumberFormat="1" applyFont="1" applyFill="1" applyBorder="1" applyAlignment="1">
      <x:alignment vertical="center" wrapText="1"/>
    </x:xf>
    <x:xf numFmtId="201" fontId="0" fillId="10" borderId="3" xfId="0" applyNumberFormat="1" applyFont="1" applyFill="1" applyBorder="1" applyAlignment="1">
      <x:alignment vertical="center" wrapText="1"/>
    </x:xf>
    <x:xf numFmtId="0" fontId="0" fillId="10" borderId="4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 applyAlignment="1">
      <x:alignment vertical="center" wrapText="1"/>
    </x:xf>
    <x:xf numFmtId="200" fontId="0" fillId="10" borderId="1" xfId="0" applyNumberFormat="1" applyFont="1" applyFill="1" applyBorder="1" applyAlignment="1">
      <x:alignment vertical="center" wrapText="1"/>
    </x:xf>
    <x:xf numFmtId="201" fontId="0" fillId="10" borderId="1" xfId="0" applyNumberFormat="1" applyFont="1" applyFill="1" applyBorder="1" applyAlignment="1">
      <x:alignment vertical="center" wrapText="1"/>
    </x:xf>
    <x:xf numFmtId="0" fontId="0" fillId="10" borderId="6" xfId="0" applyNumberFormat="1" applyFont="1" applyFill="1" applyBorder="1" applyAlignment="1">
      <x:alignment vertical="center" wrapText="1"/>
    </x:xf>
    <x:xf numFmtId="0" fontId="0" fillId="10" borderId="8" xfId="0" applyNumberFormat="1" applyFont="1" applyFill="1" applyBorder="1" applyAlignment="1">
      <x:alignment vertical="center" wrapText="1"/>
    </x:xf>
    <x:xf numFmtId="200" fontId="0" fillId="10" borderId="8" xfId="0" applyNumberFormat="1" applyFont="1" applyFill="1" applyBorder="1" applyAlignment="1">
      <x:alignment vertical="center" wrapText="1"/>
    </x:xf>
    <x:xf numFmtId="201" fontId="0" fillId="10" borderId="8" xfId="0" applyNumberFormat="1" applyFont="1" applyFill="1" applyBorder="1" applyAlignment="1">
      <x:alignment vertical="center" wrapText="1"/>
    </x:xf>
    <x:xf numFmtId="0" fontId="0" fillId="10" borderId="9" xfId="0" applyNumberFormat="1" applyFont="1" applyFill="1" applyBorder="1" applyAlignment="1">
      <x:alignment vertical="center" wrapText="1"/>
    </x:xf>
    <x:xf numFmtId="0" fontId="7" fillId="10" borderId="3" xfId="0" applyNumberFormat="1" applyFont="1" applyFill="1" applyBorder="1" applyAlignment="1">
      <x:alignment vertical="center" wrapText="1"/>
    </x:xf>
    <x:xf numFmtId="200" fontId="7" fillId="10" borderId="3" xfId="0" applyNumberFormat="1" applyFont="1" applyFill="1" applyBorder="1" applyAlignment="1">
      <x:alignment vertical="center" wrapText="1"/>
    </x:xf>
    <x:xf numFmtId="201" fontId="7" fillId="10" borderId="3" xfId="0" applyNumberFormat="1" applyFont="1" applyFill="1" applyBorder="1" applyAlignment="1">
      <x:alignment vertical="center" wrapText="1"/>
    </x:xf>
    <x:xf numFmtId="0" fontId="7" fillId="10" borderId="4" xfId="0" applyNumberFormat="1" applyFont="1" applyFill="1" applyBorder="1" applyAlignment="1">
      <x:alignment vertical="center" wrapText="1"/>
    </x:xf>
    <x:xf numFmtId="0" fontId="7" fillId="10" borderId="1" xfId="0" applyNumberFormat="1" applyFont="1" applyFill="1" applyBorder="1" applyAlignment="1">
      <x:alignment vertical="center" wrapText="1"/>
    </x:xf>
    <x:xf numFmtId="200" fontId="7" fillId="10" borderId="1" xfId="0" applyNumberFormat="1" applyFont="1" applyFill="1" applyBorder="1" applyAlignment="1">
      <x:alignment vertical="center" wrapText="1"/>
    </x:xf>
    <x:xf numFmtId="201" fontId="7" fillId="10" borderId="1" xfId="0" applyNumberFormat="1" applyFont="1" applyFill="1" applyBorder="1" applyAlignment="1">
      <x:alignment vertical="center" wrapText="1"/>
    </x:xf>
    <x:xf numFmtId="0" fontId="7" fillId="10" borderId="6" xfId="0" applyNumberFormat="1" applyFont="1" applyFill="1" applyBorder="1" applyAlignment="1">
      <x:alignment vertical="center" wrapText="1"/>
    </x:xf>
    <x:xf numFmtId="0" fontId="7" fillId="10" borderId="8" xfId="0" applyNumberFormat="1" applyFont="1" applyFill="1" applyBorder="1" applyAlignment="1">
      <x:alignment vertical="center" wrapText="1"/>
    </x:xf>
    <x:xf numFmtId="200" fontId="7" fillId="10" borderId="8" xfId="0" applyNumberFormat="1" applyFont="1" applyFill="1" applyBorder="1" applyAlignment="1">
      <x:alignment vertical="center" wrapText="1"/>
    </x:xf>
    <x:xf numFmtId="201" fontId="7" fillId="10" borderId="8" xfId="0" applyNumberFormat="1" applyFont="1" applyFill="1" applyBorder="1" applyAlignment="1">
      <x:alignment vertical="center" wrapText="1"/>
    </x:xf>
    <x:xf numFmtId="0" fontId="7" fillId="10" borderId="9" xfId="0" applyNumberFormat="1" applyFont="1" applyFill="1" applyBorder="1" applyAlignment="1">
      <x:alignment vertical="center" wrapText="1"/>
    </x:xf>
    <x:xf numFmtId="202" fontId="0" fillId="0" borderId="2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/>
    <x:xf numFmtId="202" fontId="7" fillId="0" borderId="2" xfId="0" applyNumberFormat="1" applyFont="1" applyFill="1" applyBorder="1" applyAlignment="1">
      <x:alignment vertical="center" wrapText="1"/>
    </x:xf>
    <x:xf numFmtId="201" fontId="7" fillId="0" borderId="3" xfId="0" applyNumberFormat="1" applyFont="1" applyFill="1" applyBorder="1" applyAlignment="1">
      <x:alignment vertical="center" wrapText="1"/>
    </x:xf>
    <x:xf numFmtId="202" fontId="7" fillId="0" borderId="5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202" fontId="7" fillId="0" borderId="7" xfId="0" applyNumberFormat="1" applyFont="1" applyFill="1" applyBorder="1" applyAlignment="1">
      <x:alignment vertical="center" wrapText="1"/>
    </x:xf>
    <x:xf numFmtId="201" fontId="7" fillId="0" borderId="8" xfId="0" applyNumberFormat="1" applyFont="1" applyFill="1" applyBorder="1" applyAlignment="1">
      <x:alignment vertical="center" wrapText="1"/>
    </x:xf>
    <x:xf numFmtId="0" fontId="0" fillId="10" borderId="2" xfId="0" applyNumberFormat="1" applyFont="1" applyFill="1" applyBorder="1" applyAlignment="1">
      <x:alignment vertical="center" wrapText="1"/>
    </x:xf>
    <x:xf numFmtId="0" fontId="0" fillId="10" borderId="5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center" wrapText="1"/>
    </x:xf>
    <x:xf numFmtId="0" fontId="7" fillId="10" borderId="2" xfId="0" applyNumberFormat="1" applyFont="1" applyFill="1" applyBorder="1" applyAlignment="1">
      <x:alignment vertical="center" wrapText="1"/>
    </x:xf>
    <x:xf numFmtId="0" fontId="7" fillId="10" borderId="5" xfId="0" applyNumberFormat="1" applyFont="1" applyFill="1" applyBorder="1" applyAlignment="1">
      <x:alignment vertical="center" wrapText="1"/>
    </x:xf>
    <x:xf numFmtId="0" fontId="7" fillId="10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007C80"/>
      </x:font>
      <x:fill>
        <x:patternFill patternType="solid">
          <x:bgColor rgb="FFE8F7F5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57347"/>
      </x:font>
      <x:fill>
        <x:patternFill patternType="solid">
          <x:bgColor rgb="FFEAF7E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57347"/>
      </x:font>
      <x:fill>
        <x:patternFill patternType="solid">
          <x:bgColor rgb="FFEAF7EF"/>
        </x:patternFill>
      </x:fill>
    </x:dxf>
    <x:dxf>
      <x:font>
        <x:b/>
        <x:color rgb="FF007C80"/>
      </x:font>
      <x:fill>
        <x:patternFill patternType="solid">
          <x:bgColor rgb="FFE8F7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1d927404c4915" /><Relationship Type="http://schemas.openxmlformats.org/officeDocument/2006/relationships/theme" Target="/xl/theme/theme1.xml" Id="Rd9a232996e7a4841" /><Relationship Type="http://schemas.openxmlformats.org/officeDocument/2006/relationships/sharedStrings" Target="/xl/sharedStrings.xml" Id="R20645bda7352446c" /><Relationship Type="http://schemas.openxmlformats.org/officeDocument/2006/relationships/worksheet" Target="/xl/worksheets/sheet1.xml" Id="R2b7f9adf821e48f7" /><Relationship Type="http://schemas.openxmlformats.org/officeDocument/2006/relationships/worksheet" Target="/xl/worksheets/sheet2.xml" Id="R61ab4368df434215" /><Relationship Type="http://schemas.openxmlformats.org/officeDocument/2006/relationships/worksheet" Target="/xl/worksheets/sheet3.xml" Id="R225bc48856d74a38" /><Relationship Type="http://schemas.openxmlformats.org/officeDocument/2006/relationships/worksheet" Target="/xl/worksheets/sheet4.xml" Id="Ref4a5e01896f4b6e" /><Relationship Type="http://schemas.openxmlformats.org/officeDocument/2006/relationships/worksheet" Target="/xl/worksheets/sheet5.xml" Id="Rbe03aa79a4ba4379" /><Relationship Type="http://schemas.openxmlformats.org/officeDocument/2006/relationships/worksheet" Target="/xl/worksheets/sheet6.xml" Id="R5fb882a31b614b22" /></Relationships>
</file>

<file path=xl/tables/table1.xml><?xml version="1.0" encoding="utf-8"?>
<x:table xmlns:x="http://schemas.openxmlformats.org/spreadsheetml/2006/main" id="1" name="ActwillKeywordTable" displayName="ActwillKeywordTable" ref="A5:W54" headerRowCount="1" totalsRowCount="0" totalsRowShown="0">
  <x:autoFilter ref="A5:W54"/>
  <x:tableColumns count="23">
    <x:tableColumn id="1" name="区分"/>
    <x:tableColumn id="2" name="広告グループ"/>
    <x:tableColumn id="3" name="テーマ"/>
    <x:tableColumn id="4" name="キーワード"/>
    <x:tableColumn id="5" name="マッチ"/>
    <x:tableColumn id="6" name="初期CPC"/>
    <x:tableColumn id="7" name="KWP月間"/>
    <x:tableColumn id="8" name="KWP競合"/>
    <x:tableColumn id="9" name="KWP低額"/>
    <x:tableColumn id="10" name="KWP高額"/>
    <x:tableColumn id="11" name="法人性"/>
    <x:tableColumn id="12" name="事業継続性"/>
    <x:tableColumn id="13" name="300万円級"/>
    <x:tableColumn id="14" name="配信状態"/>
    <x:tableColumn id="15" name="表示"/>
    <x:tableColumn id="16" name="クリック"/>
    <x:tableColumn id="17" name="広告費"/>
    <x:tableColumn id="18" name="実CPC"/>
    <x:tableColumn id="19" name="MCV"/>
    <x:tableColumn id="20" name="MCVR"/>
    <x:tableColumn id="21" name="最終CV"/>
    <x:tableColumn id="22" name="判断"/>
    <x:tableColumn id="23" name="メモ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willDailyTable" displayName="ActwillDailyTable" ref="A6:N55" headerRowCount="1" totalsRowCount="0" totalsRowShown="0">
  <x:autoFilter ref="A6:N55"/>
  <x:tableColumns count="14">
    <x:tableColumn id="1" name="日付"/>
    <x:tableColumn id="2" name="キャンペーン"/>
    <x:tableColumn id="3" name="広告グループ"/>
    <x:tableColumn id="4" name="キーワード"/>
    <x:tableColumn id="5" name="表示"/>
    <x:tableColumn id="6" name="クリック"/>
    <x:tableColumn id="7" name="広告費"/>
    <x:tableColumn id="8" name="実CPC"/>
    <x:tableColumn id="9" name="公式遷移（MCV）"/>
    <x:tableColumn id="10" name="MCVR"/>
    <x:tableColumn id="11" name="申込・問合せ"/>
    <x:tableColumn id="12" name="最終CV"/>
    <x:tableColumn id="13" name="検索語句メモ"/>
    <x:tableColumn id="14" name="日次判断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SearchTermLog" displayName="SearchTermLog" ref="A6:J36" headerRowCount="1" totalsRowCount="0" totalsRowShown="0">
  <x:autoFilter ref="A6:J36"/>
  <x:tableColumns count="10">
    <x:tableColumn id="1" name="日付"/>
    <x:tableColumn id="2" name="広告グループ"/>
    <x:tableColumn id="3" name="検索語句"/>
    <x:tableColumn id="4" name="表示"/>
    <x:tableColumn id="5" name="クリック"/>
    <x:tableColumn id="6" name="広告費"/>
    <x:tableColumn id="7" name="MCV"/>
    <x:tableColumn id="8" name="意図判定"/>
    <x:tableColumn id="9" name="対応"/>
    <x:tableColumn id="10" name="根拠・メモ"/>
  </x:tableColumns>
  <x:tableStyleInfo name="TableStyleMedium6" showFirstColumn="0" showLastColumn="0" showRowStripes="1" showColumnStripes="0"/>
</x:table>
</file>

<file path=xl/tables/table4.xml><?xml version="1.0" encoding="utf-8"?>
<x:table xmlns:x="http://schemas.openxmlformats.org/spreadsheetml/2006/main" id="4" name="ActwillNegativeTable" displayName="ActwillNegativeTable" ref="A41:E77" headerRowCount="1" totalsRowCount="0" totalsRowShown="0">
  <x:autoFilter ref="A41:E77"/>
  <x:tableColumns count="5">
    <x:tableColumn id="1" name="区分"/>
    <x:tableColumn id="2" name="除外KW"/>
    <x:tableColumn id="3" name="マッチタイプ"/>
    <x:tableColumn id="4" name="状態"/>
    <x:tableColumn id="5" name="理由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twillRsaTable" displayName="ActwillRsaTable" ref="A6:G13" headerRowCount="1" totalsRowCount="0" totalsRowShown="0">
  <x:autoFilter ref="A6:G13"/>
  <x:tableColumns count="7">
    <x:tableColumn id="1" name="広告グループ"/>
    <x:tableColumn id="2" name="見出し1（固定）"/>
    <x:tableColumn id="3" name="見出し2〜15"/>
    <x:tableColumn id="4" name="説明文1"/>
    <x:tableColumn id="5" name="説明文2"/>
    <x:tableColumn id="6" name="配信状態"/>
    <x:tableColumn id="7" name="変更メモ"/>
  </x:tableColumns>
  <x:tableStyleInfo name="TableStyleMedium5" showFirstColumn="0" showLastColumn="0" showRowStripes="1" showColumnStripes="0"/>
</x:table>
</file>

<file path=xl/tables/table6.xml><?xml version="1.0" encoding="utf-8"?>
<x:table xmlns:x="http://schemas.openxmlformats.org/spreadsheetml/2006/main" id="6" name="ActwillAssetTable" displayName="ActwillAssetTable" ref="A19:C31" headerRowCount="1" totalsRowCount="0" totalsRowShown="0">
  <x:autoFilter ref="A19:C31"/>
  <x:tableColumns count="3">
    <x:tableColumn id="1" name="種類"/>
    <x:tableColumn id="2" name="文言"/>
    <x:tableColumn id="3" name="遷移先・補足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f622a151014c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4ed2f0c6b54d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772096936c4198" /><Relationship Type="http://schemas.openxmlformats.org/officeDocument/2006/relationships/table" Target="/xl/tables/table4.xml" Id="R2df06469effb43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2e316c3485844fc" /><Relationship Type="http://schemas.openxmlformats.org/officeDocument/2006/relationships/table" Target="/xl/tables/table6.xml" Id="Rf7799a03920944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28" hidden="0" customWidth="1"/>
    <x:col min="4" max="4" width="15" hidden="0" customWidth="1"/>
    <x:col min="5" max="5" width="15" hidden="0" customWidth="1"/>
    <x:col min="6" max="6" width="15" hidden="0" customWidth="1"/>
    <x:col min="7" max="7" width="10" hidden="0" customWidth="1"/>
    <x:col min="8" max="8" width="13" hidden="0" customWidth="1"/>
    <x:col min="9" max="9" width="13" hidden="0" customWidth="1"/>
    <x:col min="10" max="10" width="13" hidden="0" customWidth="1"/>
    <x:col min="11" max="11" width="16" hidden="0" customWidth="1"/>
    <x:col min="12" max="12" width="16" hidden="0" customWidth="1"/>
  </x:cols>
  <x:sheetData>
    <x:row r="1" ht="30" customHeight="1">
      <x:c r="A1" s="68" t="str">
        <x:v>アクト・ウィル｜共通探索CP 運用管理表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</x:row>
    <x:row r="2" ht="22" customHeight="1">
      <x:c r="A2" s="70" t="str">
        <x:v>対象: 法人の運送会社 / 300万円以上の事業資金。初期テストは低CPCよりクリックの質・公式遷移（MCV）を優先。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</x:row>
    <x:row r="3">
      <x:c r="A3" s="69"/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</x:row>
    <x:row r="4">
      <x:c r="A4" s="71" t="str">
        <x:v>キャンペーン設定</x:v>
      </x:c>
      <x:c r="B4" s="69"/>
      <x:c r="C4" s="69"/>
      <x:c r="D4" s="69"/>
      <x:c r="E4" s="69"/>
      <x:c r="F4" s="69"/>
      <x:c r="G4" s="69"/>
      <x:c r="H4" s="72" t="str">
        <x:v>累計KPI（『日次実績』へ入力すると更新）</x:v>
      </x:c>
      <x:c r="I4" s="69"/>
      <x:c r="J4" s="69"/>
      <x:c r="K4" s="69"/>
      <x:c r="L4" s="69"/>
    </x:row>
    <x:row r="5" ht="30" customHeight="1">
      <x:c r="A5" s="73" t="str">
        <x:v>キャンペーン</x:v>
      </x:c>
      <x:c r="B5" s="74" t="str">
        <x:v>共通探索CP</x:v>
      </x:c>
      <x:c r="C5" s="73" t="str">
        <x:v>状態</x:v>
      </x:c>
      <x:c r="D5" s="74" t="str">
        <x:v>一時停止で取込み</x:v>
      </x:c>
      <x:c r="E5" s="73" t="str">
        <x:v>配信面</x:v>
      </x:c>
      <x:c r="F5" s="74" t="str">
        <x:v>Google 検索のみ</x:v>
      </x:c>
      <x:c r="G5" s="69"/>
      <x:c r="H5" s="75" t="str">
        <x:v>広告費</x:v>
      </x:c>
      <x:c r="I5" s="75" t="str">
        <x:v>クリック</x:v>
      </x:c>
      <x:c r="J5" s="75" t="str">
        <x:v>実CPC</x:v>
      </x:c>
      <x:c r="K5" s="75" t="str">
        <x:v>MCV</x:v>
      </x:c>
      <x:c r="L5" s="75" t="str">
        <x:v>MCVR</x:v>
      </x:c>
    </x:row>
    <x:row r="6" ht="24" customHeight="1">
      <x:c r="A6" s="73" t="str">
        <x:v>日予算</x:v>
      </x:c>
      <x:c r="B6" s="76" t="n">
        <x:v>2000</x:v>
      </x:c>
      <x:c r="C6" s="73" t="str">
        <x:v>テスト枠</x:v>
      </x:c>
      <x:c r="D6" s="76" t="n">
        <x:v>14000</x:v>
      </x:c>
      <x:c r="E6" s="73" t="str">
        <x:v>初期上限CPC</x:v>
      </x:c>
      <x:c r="F6" s="76" t="n">
        <x:v>50</x:v>
      </x:c>
      <x:c r="G6" s="69"/>
      <x:c r="H6" s="77" t="n">
        <x:f>SUM('日次実績'!G7:G126)</x:f>
        <x:v>0</x:v>
      </x:c>
      <x:c r="I6" s="78" t="n">
        <x:f>SUM('日次実績'!F7:F126)</x:f>
        <x:v>0</x:v>
      </x:c>
      <x:c r="J6" s="77" t="n">
        <x:f>IFERROR(H6/I6,0)</x:f>
        <x:v>0</x:v>
      </x:c>
      <x:c r="K6" s="78" t="n">
        <x:f>SUM('日次実績'!J7:J126)</x:f>
        <x:v>0</x:v>
      </x:c>
      <x:c r="L6" s="79" t="n">
        <x:f>IFERROR(K6/I6,0)</x:f>
        <x:v>0</x:v>
      </x:c>
    </x:row>
    <x:row r="7" ht="24" customHeight="1">
      <x:c r="A7" s="73" t="str">
        <x:v>対象</x:v>
      </x:c>
      <x:c r="B7" s="74" t="str">
        <x:v>法人の運送会社</x:v>
      </x:c>
      <x:c r="C7" s="73" t="str">
        <x:v>資金規模</x:v>
      </x:c>
      <x:c r="D7" s="74" t="str">
        <x:v>300万円〜1億円</x:v>
      </x:c>
      <x:c r="E7" s="73" t="str">
        <x:v>LP</x:v>
      </x:c>
      <x:c r="F7" s="74" t="str">
        <x:v>https://unsou-shikin.hakobu-family.com/actwill/</x:v>
      </x:c>
      <x:c r="G7" s="69"/>
      <x:c r="H7" s="69"/>
      <x:c r="I7" s="69"/>
      <x:c r="J7" s="69"/>
      <x:c r="K7" s="69"/>
      <x:c r="L7" s="69"/>
    </x:row>
    <x:row r="8" ht="30" customHeight="1">
      <x:c r="A8" s="73" t="str">
        <x:v>計測MCV</x:v>
      </x:c>
      <x:c r="B8" s="74" t="str">
        <x:v>公式サイトへのCTAクリック</x:v>
      </x:c>
      <x:c r="C8" s="73" t="str">
        <x:v>最終成果</x:v>
      </x:c>
      <x:c r="D8" s="74" t="str">
        <x:v>仮査定完了</x:v>
      </x:c>
      <x:c r="E8" s="73" t="str">
        <x:v>成果確定目安</x:v>
      </x:c>
      <x:c r="F8" s="74" t="str">
        <x:v>約30日</x:v>
      </x:c>
      <x:c r="G8" s="69"/>
      <x:c r="H8" s="75" t="str">
        <x:v>最終CV</x:v>
      </x:c>
      <x:c r="I8" s="75" t="str">
        <x:v>CPA（最終）</x:v>
      </x:c>
      <x:c r="J8" s="75" t="str">
        <x:v>管理KW</x:v>
      </x:c>
      <x:c r="K8" s="75" t="str">
        <x:v>追加AG</x:v>
      </x:c>
      <x:c r="L8" s="75" t="str">
        <x:v>判断</x:v>
      </x:c>
    </x:row>
    <x:row r="9">
      <x:c r="A9" s="69"/>
      <x:c r="B9" s="69"/>
      <x:c r="C9" s="69"/>
      <x:c r="D9" s="69"/>
      <x:c r="E9" s="69"/>
      <x:c r="F9" s="69"/>
      <x:c r="G9" s="69"/>
      <x:c r="H9" s="80" t="n">
        <x:f>SUM('日次実績'!L7:L126)</x:f>
        <x:v>0</x:v>
      </x:c>
      <x:c r="I9" s="81" t="n">
        <x:f>IFERROR(H6/H9,0)</x:f>
        <x:v>0</x:v>
      </x:c>
      <x:c r="J9" s="80" t="n">
        <x:f>COUNTA('KW管理'!D7:D55)</x:f>
        <x:v>48</x:v>
      </x:c>
      <x:c r="K9" s="80" t="n">
        <x:v>4</x:v>
      </x:c>
      <x:c r="L9" s="80" t="str">
        <x:v>検索語句とMCVで判断</x:v>
      </x:c>
    </x:row>
    <x:row r="10">
      <x:c r="A10" s="82" t="str">
        <x:v>広告グループ別の管理</x:v>
      </x:c>
      <x:c r="B10" s="69"/>
      <x:c r="C10" s="69"/>
      <x:c r="D10" s="69"/>
      <x:c r="E10" s="69"/>
      <x:c r="F10" s="69"/>
      <x:c r="G10" s="69"/>
      <x:c r="H10" s="69"/>
      <x:c r="I10" s="69"/>
      <x:c r="J10" s="69"/>
      <x:c r="K10" s="69"/>
      <x:c r="L10" s="69"/>
    </x:row>
    <x:row r="11" ht="30" customHeight="1">
      <x:c r="A11" s="75" t="str">
        <x:v>広告グループ</x:v>
      </x:c>
      <x:c r="B11" s="75" t="str">
        <x:v>区分</x:v>
      </x:c>
      <x:c r="C11" s="75" t="str">
        <x:v>検索意図</x:v>
      </x:c>
      <x:c r="D11" s="75" t="str">
        <x:v>法人性</x:v>
      </x:c>
      <x:c r="E11" s="75" t="str">
        <x:v>事業継続性</x:v>
      </x:c>
      <x:c r="F11" s="75" t="str">
        <x:v>300万円級</x:v>
      </x:c>
      <x:c r="G11" s="75" t="str">
        <x:v>KW数</x:v>
      </x:c>
      <x:c r="H11" s="75" t="str">
        <x:v>広告費</x:v>
      </x:c>
      <x:c r="I11" s="75" t="str">
        <x:v>クリック</x:v>
      </x:c>
      <x:c r="J11" s="75" t="str">
        <x:v>MCV</x:v>
      </x:c>
      <x:c r="K11" s="69"/>
      <x:c r="L11" s="69"/>
    </x:row>
    <x:row r="12" ht="28" customHeight="1">
      <x:c r="A12" s="83" t="str">
        <x:v>AG01 融資・事業資金</x:v>
      </x:c>
      <x:c r="B12" s="84" t="str">
        <x:v>初期・直接</x:v>
      </x:c>
      <x:c r="C12" s="84" t="str">
        <x:v>運送会社＋融資／資金調達</x:v>
      </x:c>
      <x:c r="D12" s="84" t="str">
        <x:v>高</x:v>
      </x:c>
      <x:c r="E12" s="84" t="str">
        <x:v>高</x:v>
      </x:c>
      <x:c r="F12" s="84" t="str">
        <x:v>高</x:v>
      </x:c>
      <x:c r="G12" s="84" t="n">
        <x:f>COUNTIF('KW管理'!$B$7:$B$55,A12)</x:f>
        <x:v>5</x:v>
      </x:c>
      <x:c r="H12" s="85" t="n">
        <x:f>SUMIF('日次実績'!$C$7:$C$126,A12,'日次実績'!$G$7:$G$126)</x:f>
        <x:v>0</x:v>
      </x:c>
      <x:c r="I12" s="84" t="n">
        <x:f>SUMIF('日次実績'!$C$7:$C$126,A12,'日次実績'!$F$7:$F$126)</x:f>
        <x:v>0</x:v>
      </x:c>
      <x:c r="J12" s="86" t="n">
        <x:f>SUMIF('日次実績'!$C$7:$C$126,A12,'日次実績'!$J$7:$J$126)</x:f>
        <x:v>0</x:v>
      </x:c>
      <x:c r="K12" s="69"/>
      <x:c r="L12" s="69"/>
    </x:row>
    <x:row r="13" ht="28" customHeight="1">
      <x:c r="A13" s="87" t="str">
        <x:v>AG02 資金不足・支払い</x:v>
      </x:c>
      <x:c r="B13" s="74" t="str">
        <x:v>初期・状況</x:v>
      </x:c>
      <x:c r="C13" s="74" t="str">
        <x:v>資金不足・固定費支払</x:v>
      </x:c>
      <x:c r="D13" s="74" t="str">
        <x:v>高</x:v>
      </x:c>
      <x:c r="E13" s="74" t="str">
        <x:v>中</x:v>
      </x:c>
      <x:c r="F13" s="74" t="str">
        <x:v>中</x:v>
      </x:c>
      <x:c r="G13" s="74" t="n">
        <x:f>COUNTIF('KW管理'!$B$7:$B$55,A13)</x:f>
        <x:v>5</x:v>
      </x:c>
      <x:c r="H13" s="76" t="n">
        <x:f>SUMIF('日次実績'!$C$7:$C$126,A13,'日次実績'!$G$7:$G$126)</x:f>
        <x:v>0</x:v>
      </x:c>
      <x:c r="I13" s="74" t="n">
        <x:f>SUMIF('日次実績'!$C$7:$C$126,A13,'日次実績'!$F$7:$F$126)</x:f>
        <x:v>0</x:v>
      </x:c>
      <x:c r="J13" s="88" t="n">
        <x:f>SUMIF('日次実績'!$C$7:$C$126,A13,'日次実績'!$J$7:$J$126)</x:f>
        <x:v>0</x:v>
      </x:c>
      <x:c r="K13" s="69"/>
      <x:c r="L13" s="69"/>
    </x:row>
    <x:row r="14" ht="28" customHeight="1">
      <x:c r="A14" s="87" t="str">
        <x:v>AG03 車両資金</x:v>
      </x:c>
      <x:c r="B14" s="74" t="str">
        <x:v>初期・車両</x:v>
      </x:c>
      <x:c r="C14" s="74" t="str">
        <x:v>修理・増車の資金需要</x:v>
      </x:c>
      <x:c r="D14" s="74" t="str">
        <x:v>中</x:v>
      </x:c>
      <x:c r="E14" s="74" t="str">
        <x:v>中</x:v>
      </x:c>
      <x:c r="F14" s="74" t="str">
        <x:v>中</x:v>
      </x:c>
      <x:c r="G14" s="74" t="n">
        <x:f>COUNTIF('KW管理'!$B$7:$B$55,A14)</x:f>
        <x:v>4</x:v>
      </x:c>
      <x:c r="H14" s="76" t="n">
        <x:f>SUMIF('日次実績'!$C$7:$C$126,A14,'日次実績'!$G$7:$G$126)</x:f>
        <x:v>0</x:v>
      </x:c>
      <x:c r="I14" s="74" t="n">
        <x:f>SUMIF('日次実績'!$C$7:$C$126,A14,'日次実績'!$F$7:$F$126)</x:f>
        <x:v>0</x:v>
      </x:c>
      <x:c r="J14" s="88" t="n">
        <x:f>SUMIF('日次実績'!$C$7:$C$126,A14,'日次実績'!$J$7:$J$126)</x:f>
        <x:v>0</x:v>
      </x:c>
      <x:c r="K14" s="69"/>
      <x:c r="L14" s="69"/>
    </x:row>
    <x:row r="15" ht="28" customHeight="1">
      <x:c r="A15" s="87" t="str">
        <x:v>AG04 傭車・協力会社支払</x:v>
      </x:c>
      <x:c r="B15" s="74" t="str">
        <x:v>追加・本命</x:v>
      </x:c>
      <x:c r="C15" s="74" t="str">
        <x:v>傭車費／協力会社への先行支払</x:v>
      </x:c>
      <x:c r="D15" s="74" t="str">
        <x:v>非常に高</x:v>
      </x:c>
      <x:c r="E15" s="74" t="str">
        <x:v>高</x:v>
      </x:c>
      <x:c r="F15" s="74" t="str">
        <x:v>高</x:v>
      </x:c>
      <x:c r="G15" s="74" t="n">
        <x:f>COUNTIF('KW管理'!$B$7:$B$55,A15)</x:f>
        <x:v>10</x:v>
      </x:c>
      <x:c r="H15" s="76" t="n">
        <x:f>SUMIF('日次実績'!$C$7:$C$126,A15,'日次実績'!$G$7:$G$126)</x:f>
        <x:v>0</x:v>
      </x:c>
      <x:c r="I15" s="74" t="n">
        <x:f>SUMIF('日次実績'!$C$7:$C$126,A15,'日次実績'!$F$7:$F$126)</x:f>
        <x:v>0</x:v>
      </x:c>
      <x:c r="J15" s="88" t="n">
        <x:f>SUMIF('日次実績'!$C$7:$C$126,A15,'日次実績'!$J$7:$J$126)</x:f>
        <x:v>0</x:v>
      </x:c>
      <x:c r="K15" s="69"/>
      <x:c r="L15" s="69"/>
    </x:row>
    <x:row r="16" ht="28" customHeight="1">
      <x:c r="A16" s="87" t="str">
        <x:v>AG05 受注増・入金ギャップ</x:v>
      </x:c>
      <x:c r="B16" s="74" t="str">
        <x:v>追加・本命</x:v>
      </x:c>
      <x:c r="C16" s="74" t="str">
        <x:v>受注増・繁忙期・荷主入金待ち</x:v>
      </x:c>
      <x:c r="D16" s="74" t="str">
        <x:v>高</x:v>
      </x:c>
      <x:c r="E16" s="74" t="str">
        <x:v>高</x:v>
      </x:c>
      <x:c r="F16" s="74" t="str">
        <x:v>高</x:v>
      </x:c>
      <x:c r="G16" s="74" t="n">
        <x:f>COUNTIF('KW管理'!$B$7:$B$55,A16)</x:f>
        <x:v>8</x:v>
      </x:c>
      <x:c r="H16" s="76" t="n">
        <x:f>SUMIF('日次実績'!$C$7:$C$126,A16,'日次実績'!$G$7:$G$126)</x:f>
        <x:v>0</x:v>
      </x:c>
      <x:c r="I16" s="74" t="n">
        <x:f>SUMIF('日次実績'!$C$7:$C$126,A16,'日次実績'!$F$7:$F$126)</x:f>
        <x:v>0</x:v>
      </x:c>
      <x:c r="J16" s="88" t="n">
        <x:f>SUMIF('日次実績'!$C$7:$C$126,A16,'日次実績'!$J$7:$J$126)</x:f>
        <x:v>0</x:v>
      </x:c>
      <x:c r="K16" s="69"/>
      <x:c r="L16" s="69"/>
    </x:row>
    <x:row r="17" ht="28" customHeight="1">
      <x:c r="A17" s="87" t="str">
        <x:v>AG06 車両導入・リース否決</x:v>
      </x:c>
      <x:c r="B17" s="74" t="str">
        <x:v>追加・本命</x:v>
      </x:c>
      <x:c r="C17" s="74" t="str">
        <x:v>車両導入・審査否決・頭金不足</x:v>
      </x:c>
      <x:c r="D17" s="74" t="str">
        <x:v>中</x:v>
      </x:c>
      <x:c r="E17" s="74" t="str">
        <x:v>高</x:v>
      </x:c>
      <x:c r="F17" s="74" t="str">
        <x:v>高</x:v>
      </x:c>
      <x:c r="G17" s="74" t="n">
        <x:f>COUNTIF('KW管理'!$B$7:$B$55,A17)</x:f>
        <x:v>9</x:v>
      </x:c>
      <x:c r="H17" s="76" t="n">
        <x:f>SUMIF('日次実績'!$C$7:$C$126,A17,'日次実績'!$G$7:$G$126)</x:f>
        <x:v>0</x:v>
      </x:c>
      <x:c r="I17" s="74" t="n">
        <x:f>SUMIF('日次実績'!$C$7:$C$126,A17,'日次実績'!$F$7:$F$126)</x:f>
        <x:v>0</x:v>
      </x:c>
      <x:c r="J17" s="88" t="n">
        <x:f>SUMIF('日次実績'!$C$7:$C$126,A17,'日次実績'!$J$7:$J$126)</x:f>
        <x:v>0</x:v>
      </x:c>
      <x:c r="K17" s="69"/>
      <x:c r="L17" s="69"/>
    </x:row>
    <x:row r="18" ht="28" customHeight="1">
      <x:c r="A18" s="89" t="str">
        <x:v>AG07 事故・稼働復旧</x:v>
      </x:c>
      <x:c r="B18" s="90" t="str">
        <x:v>追加・検証</x:v>
      </x:c>
      <x:c r="C18" s="90" t="str">
        <x:v>事故・保険金待ち・稼働復旧</x:v>
      </x:c>
      <x:c r="D18" s="90" t="str">
        <x:v>中</x:v>
      </x:c>
      <x:c r="E18" s="90" t="str">
        <x:v>中</x:v>
      </x:c>
      <x:c r="F18" s="90" t="str">
        <x:v>中</x:v>
      </x:c>
      <x:c r="G18" s="90" t="n">
        <x:f>COUNTIF('KW管理'!$B$7:$B$55,A18)</x:f>
        <x:v>7</x:v>
      </x:c>
      <x:c r="H18" s="91" t="n">
        <x:f>SUMIF('日次実績'!$C$7:$C$126,A18,'日次実績'!$G$7:$G$126)</x:f>
        <x:v>0</x:v>
      </x:c>
      <x:c r="I18" s="90" t="n">
        <x:f>SUMIF('日次実績'!$C$7:$C$126,A18,'日次実績'!$F$7:$F$126)</x:f>
        <x:v>0</x:v>
      </x:c>
      <x:c r="J18" s="92" t="n">
        <x:f>SUMIF('日次実績'!$C$7:$C$126,A18,'日次実績'!$J$7:$J$126)</x:f>
        <x:v>0</x:v>
      </x:c>
      <x:c r="K18" s="69"/>
      <x:c r="L18" s="69"/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</x:row>
    <x:row r="20">
      <x:c r="A20" s="93" t="str">
        <x:v>初動ルール</x:v>
      </x:c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</x:row>
    <x:row r="21" ht="30" customHeight="1">
      <x:c r="A21" s="94" t="str">
        <x:v>1</x:v>
      </x:c>
      <x:c r="B21" s="94" t="str">
        <x:v>検索語句を最優先で確認</x:v>
      </x:c>
      <x:c r="C21" s="74" t="str">
        <x:v>説明検索・求人・修理店・地域／相場・個人を除外。安いクリックだけでは継続しない。</x:v>
      </x:c>
      <x:c r="D21" s="74" t="str"/>
      <x:c r="E21" s="74" t="str"/>
      <x:c r="F21" s="74" t="str"/>
      <x:c r="G21" s="74" t="str"/>
      <x:c r="H21" s="74" t="str"/>
      <x:c r="I21" s="74" t="str"/>
      <x:c r="J21" s="74" t="str"/>
      <x:c r="K21" s="74" t="str"/>
      <x:c r="L21" s="74" t="str"/>
    </x:row>
    <x:row r="22" ht="30" customHeight="1">
      <x:c r="A22" s="94" t="str">
        <x:v>2</x:v>
      </x:c>
      <x:c r="B22" s="94" t="str">
        <x:v>MCVが出た語は隔離</x:v>
      </x:c>
      <x:c r="C22" s="74" t="str">
        <x:v>公式遷移が出た検索語句は、完全一致＋専用AGへ追加して比較する。</x:v>
      </x:c>
      <x:c r="D22" s="74" t="str"/>
      <x:c r="E22" s="74" t="str"/>
      <x:c r="F22" s="74" t="str"/>
      <x:c r="G22" s="74" t="str"/>
      <x:c r="H22" s="74" t="str"/>
      <x:c r="I22" s="74" t="str"/>
      <x:c r="J22" s="74" t="str"/>
      <x:c r="K22" s="74" t="str"/>
      <x:c r="L22" s="74" t="str"/>
    </x:row>
    <x:row r="23" ht="30" customHeight="1">
      <x:c r="A23" s="94" t="str">
        <x:v>3</x:v>
      </x:c>
      <x:c r="B23" s="94" t="str">
        <x:v>最終CVは遅れて判定</x:v>
      </x:c>
      <x:c r="C23" s="74" t="str">
        <x:v>成果地点は仮査定完了。約30日の確定待ちを前提に、初期は検索語句とMCVで判断する。</x:v>
      </x:c>
      <x:c r="D23" s="74" t="str"/>
      <x:c r="E23" s="74" t="str"/>
      <x:c r="F23" s="74" t="str"/>
      <x:c r="G23" s="74" t="str"/>
      <x:c r="H23" s="74" t="str"/>
      <x:c r="I23" s="74" t="str"/>
      <x:c r="J23" s="74" t="str"/>
      <x:c r="K23" s="74" t="str"/>
      <x:c r="L23" s="74" t="str"/>
    </x:row>
    <x:row r="24" ht="30" customHeight="1">
      <x:c r="A24" s="94" t="str">
        <x:v>4</x:v>
      </x:c>
      <x:c r="B24" s="94" t="str">
        <x:v>広告で対象外を先に除く</x:v>
      </x:c>
      <x:c r="C24" s="74" t="str">
        <x:v>広告文は法人・運送会社・300万円以上を明示。個人や少額のクリックを増やさない。</x:v>
      </x:c>
      <x:c r="D24" s="74" t="str"/>
      <x:c r="E24" s="74" t="str"/>
      <x:c r="F24" s="74" t="str"/>
      <x:c r="G24" s="74" t="str"/>
      <x:c r="H24" s="74" t="str"/>
      <x:c r="I24" s="74" t="str"/>
      <x:c r="J24" s="74" t="str"/>
      <x:c r="K24" s="74" t="str"/>
      <x:c r="L24" s="74" t="str"/>
    </x:row>
  </x:sheetData>
  <x:mergeCells>
    <x:mergeCell ref="A1:L1"/>
    <x:mergeCell ref="A2:L2"/>
    <x:mergeCell ref="A4:L4"/>
    <x:mergeCell ref="H4:L4"/>
    <x:mergeCell ref="A10:L10"/>
    <x:mergeCell ref="A20:L20"/>
    <x:mergeCell ref="C21:L21"/>
    <x:mergeCell ref="C22:L22"/>
    <x:mergeCell ref="C23:L23"/>
    <x:mergeCell ref="C24:L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9" hidden="0" customWidth="1"/>
    <x:col min="4" max="4" width="32" hidden="0" customWidth="1"/>
    <x:col min="5" max="5" width="10" hidden="0" customWidth="1"/>
    <x:col min="6" max="6" width="11" hidden="0" customWidth="1"/>
    <x:col min="7" max="7" width="11" hidden="0" customWidth="1"/>
    <x:col min="8" max="8" width="10" hidden="0" customWidth="1"/>
    <x:col min="9" max="9" width="11" hidden="0" customWidth="1"/>
    <x:col min="10" max="10" width="11" hidden="0" customWidth="1"/>
    <x:col min="11" max="11" width="12" hidden="0" customWidth="1"/>
    <x:col min="12" max="12" width="13" hidden="0" customWidth="1"/>
    <x:col min="13" max="13" width="12" hidden="0" customWidth="1"/>
    <x:col min="14" max="14" width="13" hidden="0" customWidth="1"/>
    <x:col min="15" max="15" width="9" hidden="0" customWidth="1"/>
    <x:col min="16" max="16" width="9" hidden="0" customWidth="1"/>
    <x:col min="17" max="17" width="11" hidden="0" customWidth="1"/>
    <x:col min="18" max="18" width="11" hidden="0" customWidth="1"/>
    <x:col min="19" max="19" width="9" hidden="0" customWidth="1"/>
    <x:col min="20" max="20" width="10" hidden="0" customWidth="1"/>
    <x:col min="21" max="21" width="10" hidden="0" customWidth="1"/>
    <x:col min="22" max="22" width="16" hidden="0" customWidth="1"/>
    <x:col min="23" max="23" width="28" hidden="0" customWidth="1"/>
  </x:cols>
  <x:sheetData>
    <x:row r="1" ht="30" customHeight="1">
      <x:c r="A1" s="68" t="str">
        <x:v>KW管理｜共通探索CP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</x:row>
    <x:row r="2" ht="22" customHeight="1">
      <x:c r="A2" s="70" t="str">
        <x:v>黄色セルは日々の入力・判断用。既存初期KWと資金イベント探索AGを一つの管理表で比較する。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</x:row>
    <x:row r="3">
      <x:c r="A3" s="69"/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</x:row>
    <x:row r="4">
      <x:c r="A4" s="69"/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</x:row>
    <x:row r="5" ht="30" customHeight="1">
      <x:c r="A5" s="75" t="str">
        <x:v>区分</x:v>
      </x:c>
      <x:c r="B5" s="75" t="str">
        <x:v>広告グループ</x:v>
      </x:c>
      <x:c r="C5" s="75" t="str">
        <x:v>テーマ</x:v>
      </x:c>
      <x:c r="D5" s="75" t="str">
        <x:v>キーワード</x:v>
      </x:c>
      <x:c r="E5" s="75" t="str">
        <x:v>マッチ</x:v>
      </x:c>
      <x:c r="F5" s="75" t="str">
        <x:v>初期CPC</x:v>
      </x:c>
      <x:c r="G5" s="75" t="str">
        <x:v>KWP月間</x:v>
      </x:c>
      <x:c r="H5" s="75" t="str">
        <x:v>KWP競合</x:v>
      </x:c>
      <x:c r="I5" s="75" t="str">
        <x:v>KWP低額</x:v>
      </x:c>
      <x:c r="J5" s="75" t="str">
        <x:v>KWP高額</x:v>
      </x:c>
      <x:c r="K5" s="75" t="str">
        <x:v>法人性</x:v>
      </x:c>
      <x:c r="L5" s="75" t="str">
        <x:v>事業継続性</x:v>
      </x:c>
      <x:c r="M5" s="75" t="str">
        <x:v>300万円級</x:v>
      </x:c>
      <x:c r="N5" s="75" t="str">
        <x:v>配信状態</x:v>
      </x:c>
      <x:c r="O5" s="75" t="str">
        <x:v>表示</x:v>
      </x:c>
      <x:c r="P5" s="75" t="str">
        <x:v>クリック</x:v>
      </x:c>
      <x:c r="Q5" s="75" t="str">
        <x:v>広告費</x:v>
      </x:c>
      <x:c r="R5" s="75" t="str">
        <x:v>実CPC</x:v>
      </x:c>
      <x:c r="S5" s="75" t="str">
        <x:v>MCV</x:v>
      </x:c>
      <x:c r="T5" s="75" t="str">
        <x:v>MCVR</x:v>
      </x:c>
      <x:c r="U5" s="75" t="str">
        <x:v>最終CV</x:v>
      </x:c>
      <x:c r="V5" s="75" t="str">
        <x:v>判断</x:v>
      </x:c>
      <x:c r="W5" s="75" t="str">
        <x:v>メモ</x:v>
      </x:c>
    </x:row>
    <x:row r="6" ht="30" customHeight="1">
      <x:c r="A6" s="83" t="str">
        <x:v>初期・直接</x:v>
      </x:c>
      <x:c r="B6" s="84" t="str">
        <x:v>AG01 融資・事業資金</x:v>
      </x:c>
      <x:c r="C6" s="84" t="str">
        <x:v>運送会社＋融資／資金調達</x:v>
      </x:c>
      <x:c r="D6" s="84" t="str">
        <x:v>運送会社 融資</x:v>
      </x:c>
      <x:c r="E6" s="84" t="str">
        <x:v>Phrase</x:v>
      </x:c>
      <x:c r="F6" s="85" t="n">
        <x:v>50</x:v>
      </x:c>
      <x:c r="G6" s="84" t="str">
        <x:v>0〜10</x:v>
      </x:c>
      <x:c r="H6" s="84" t="str">
        <x:v>—</x:v>
      </x:c>
      <x:c r="I6" s="85" t="str">
        <x:v>—</x:v>
      </x:c>
      <x:c r="J6" s="85" t="str">
        <x:v>—</x:v>
      </x:c>
      <x:c r="K6" s="84" t="str">
        <x:v>高</x:v>
      </x:c>
      <x:c r="L6" s="84" t="str">
        <x:v>高</x:v>
      </x:c>
      <x:c r="M6" s="84" t="str">
        <x:v>高</x:v>
      </x:c>
      <x:c r="N6" s="110" t="str">
        <x:v>取込み候補</x:v>
      </x:c>
      <x:c r="O6" s="110" t="str"/>
      <x:c r="P6" s="110" t="str"/>
      <x:c r="Q6" s="111" t="str"/>
      <x:c r="R6" s="111" t="str"/>
      <x:c r="S6" s="110" t="str"/>
      <x:c r="T6" s="112" t="str"/>
      <x:c r="U6" s="110" t="str"/>
      <x:c r="V6" s="110" t="str">
        <x:v>未判定</x:v>
      </x:c>
      <x:c r="W6" s="113" t="str"/>
    </x:row>
    <x:row r="7" ht="30" customHeight="1">
      <x:c r="A7" s="87" t="str">
        <x:v>初期・直接</x:v>
      </x:c>
      <x:c r="B7" s="74" t="str">
        <x:v>AG01 融資・事業資金</x:v>
      </x:c>
      <x:c r="C7" s="74" t="str">
        <x:v>運送会社＋融資／資金調達</x:v>
      </x:c>
      <x:c r="D7" s="74" t="str">
        <x:v>運送業 ビジネスローン</x:v>
      </x:c>
      <x:c r="E7" s="74" t="str">
        <x:v>Phrase</x:v>
      </x:c>
      <x:c r="F7" s="76" t="n">
        <x:v>50</x:v>
      </x:c>
      <x:c r="G7" s="74" t="str">
        <x:v>0〜10</x:v>
      </x:c>
      <x:c r="H7" s="74" t="str">
        <x:v>—</x:v>
      </x:c>
      <x:c r="I7" s="76" t="str">
        <x:v>—</x:v>
      </x:c>
      <x:c r="J7" s="76" t="str">
        <x:v>—</x:v>
      </x:c>
      <x:c r="K7" s="74" t="str">
        <x:v>高</x:v>
      </x:c>
      <x:c r="L7" s="74" t="str">
        <x:v>高</x:v>
      </x:c>
      <x:c r="M7" s="74" t="str">
        <x:v>高</x:v>
      </x:c>
      <x:c r="N7" s="114" t="str">
        <x:v>取込み候補</x:v>
      </x:c>
      <x:c r="O7" s="114" t="str"/>
      <x:c r="P7" s="114" t="str"/>
      <x:c r="Q7" s="115" t="str"/>
      <x:c r="R7" s="115" t="str"/>
      <x:c r="S7" s="114" t="str"/>
      <x:c r="T7" s="116" t="str"/>
      <x:c r="U7" s="114" t="str"/>
      <x:c r="V7" s="114" t="str">
        <x:v>未判定</x:v>
      </x:c>
      <x:c r="W7" s="117" t="str"/>
    </x:row>
    <x:row r="8" ht="30" customHeight="1">
      <x:c r="A8" s="87" t="str">
        <x:v>初期・直接</x:v>
      </x:c>
      <x:c r="B8" s="74" t="str">
        <x:v>AG01 融資・事業資金</x:v>
      </x:c>
      <x:c r="C8" s="74" t="str">
        <x:v>運送会社＋融資／資金調達</x:v>
      </x:c>
      <x:c r="D8" s="74" t="str">
        <x:v>運送業 事業資金</x:v>
      </x:c>
      <x:c r="E8" s="74" t="str">
        <x:v>Phrase</x:v>
      </x:c>
      <x:c r="F8" s="76" t="n">
        <x:v>50</x:v>
      </x:c>
      <x:c r="G8" s="74" t="str">
        <x:v>0〜10</x:v>
      </x:c>
      <x:c r="H8" s="74" t="str">
        <x:v>—</x:v>
      </x:c>
      <x:c r="I8" s="76" t="str">
        <x:v>—</x:v>
      </x:c>
      <x:c r="J8" s="76" t="str">
        <x:v>—</x:v>
      </x:c>
      <x:c r="K8" s="74" t="str">
        <x:v>高</x:v>
      </x:c>
      <x:c r="L8" s="74" t="str">
        <x:v>高</x:v>
      </x:c>
      <x:c r="M8" s="74" t="str">
        <x:v>高</x:v>
      </x:c>
      <x:c r="N8" s="114" t="str">
        <x:v>取込み候補</x:v>
      </x:c>
      <x:c r="O8" s="114" t="str"/>
      <x:c r="P8" s="114" t="str"/>
      <x:c r="Q8" s="115" t="str"/>
      <x:c r="R8" s="115" t="str"/>
      <x:c r="S8" s="114" t="str"/>
      <x:c r="T8" s="116" t="str"/>
      <x:c r="U8" s="114" t="str"/>
      <x:c r="V8" s="114" t="str">
        <x:v>未判定</x:v>
      </x:c>
      <x:c r="W8" s="117" t="str"/>
    </x:row>
    <x:row r="9" ht="30" customHeight="1">
      <x:c r="A9" s="87" t="str">
        <x:v>初期・直接</x:v>
      </x:c>
      <x:c r="B9" s="74" t="str">
        <x:v>AG01 融資・事業資金</x:v>
      </x:c>
      <x:c r="C9" s="74" t="str">
        <x:v>運送会社＋融資／資金調達</x:v>
      </x:c>
      <x:c r="D9" s="74" t="str">
        <x:v>運送業 資金調達</x:v>
      </x:c>
      <x:c r="E9" s="74" t="str">
        <x:v>Exact</x:v>
      </x:c>
      <x:c r="F9" s="76" t="n">
        <x:v>50</x:v>
      </x:c>
      <x:c r="G9" s="74" t="str">
        <x:v>10〜100</x:v>
      </x:c>
      <x:c r="H9" s="74" t="str">
        <x:v>低</x:v>
      </x:c>
      <x:c r="I9" s="76" t="n">
        <x:v>344</x:v>
      </x:c>
      <x:c r="J9" s="76" t="n">
        <x:v>1101</x:v>
      </x:c>
      <x:c r="K9" s="74" t="str">
        <x:v>高</x:v>
      </x:c>
      <x:c r="L9" s="74" t="str">
        <x:v>高</x:v>
      </x:c>
      <x:c r="M9" s="74" t="str">
        <x:v>高</x:v>
      </x:c>
      <x:c r="N9" s="114" t="str">
        <x:v>取込み候補</x:v>
      </x:c>
      <x:c r="O9" s="114" t="str"/>
      <x:c r="P9" s="114" t="str"/>
      <x:c r="Q9" s="115" t="str"/>
      <x:c r="R9" s="115" t="str"/>
      <x:c r="S9" s="114" t="str"/>
      <x:c r="T9" s="116" t="str"/>
      <x:c r="U9" s="114" t="str"/>
      <x:c r="V9" s="114" t="str">
        <x:v>未判定</x:v>
      </x:c>
      <x:c r="W9" s="117" t="str"/>
    </x:row>
    <x:row r="10" ht="30" customHeight="1">
      <x:c r="A10" s="87" t="str">
        <x:v>初期・直接</x:v>
      </x:c>
      <x:c r="B10" s="74" t="str">
        <x:v>AG01 融資・事業資金</x:v>
      </x:c>
      <x:c r="C10" s="74" t="str">
        <x:v>運送会社＋融資／資金調達</x:v>
      </x:c>
      <x:c r="D10" s="74" t="str">
        <x:v>運送業 運転資金</x:v>
      </x:c>
      <x:c r="E10" s="74" t="str">
        <x:v>Exact</x:v>
      </x:c>
      <x:c r="F10" s="76" t="n">
        <x:v>50</x:v>
      </x:c>
      <x:c r="G10" s="74" t="str">
        <x:v>10〜100</x:v>
      </x:c>
      <x:c r="H10" s="74" t="str">
        <x:v>低</x:v>
      </x:c>
      <x:c r="I10" s="76" t="n">
        <x:v>582</x:v>
      </x:c>
      <x:c r="J10" s="76" t="n">
        <x:v>1810</x:v>
      </x:c>
      <x:c r="K10" s="74" t="str">
        <x:v>高</x:v>
      </x:c>
      <x:c r="L10" s="74" t="str">
        <x:v>高</x:v>
      </x:c>
      <x:c r="M10" s="74" t="str">
        <x:v>高</x:v>
      </x:c>
      <x:c r="N10" s="114" t="str">
        <x:v>取込み候補</x:v>
      </x:c>
      <x:c r="O10" s="114" t="str"/>
      <x:c r="P10" s="114" t="str"/>
      <x:c r="Q10" s="115" t="str"/>
      <x:c r="R10" s="115" t="str"/>
      <x:c r="S10" s="114" t="str"/>
      <x:c r="T10" s="116" t="str"/>
      <x:c r="U10" s="114" t="str"/>
      <x:c r="V10" s="114" t="str">
        <x:v>未判定</x:v>
      </x:c>
      <x:c r="W10" s="117" t="str"/>
    </x:row>
    <x:row r="11" ht="30" customHeight="1">
      <x:c r="A11" s="87" t="str">
        <x:v>初期・直接</x:v>
      </x:c>
      <x:c r="B11" s="74" t="str">
        <x:v>AG01 融資・事業資金</x:v>
      </x:c>
      <x:c r="C11" s="74" t="str">
        <x:v>運送会社＋融資／資金調達</x:v>
      </x:c>
      <x:c r="D11" s="74" t="str">
        <x:v>運送業 資金繰り</x:v>
      </x:c>
      <x:c r="E11" s="74" t="str">
        <x:v>Exact</x:v>
      </x:c>
      <x:c r="F11" s="76" t="n">
        <x:v>50</x:v>
      </x:c>
      <x:c r="G11" s="74" t="str">
        <x:v>10〜100</x:v>
      </x:c>
      <x:c r="H11" s="74" t="str">
        <x:v>低</x:v>
      </x:c>
      <x:c r="I11" s="76" t="n">
        <x:v>270</x:v>
      </x:c>
      <x:c r="J11" s="76" t="n">
        <x:v>1389</x:v>
      </x:c>
      <x:c r="K11" s="74" t="str">
        <x:v>高</x:v>
      </x:c>
      <x:c r="L11" s="74" t="str">
        <x:v>高</x:v>
      </x:c>
      <x:c r="M11" s="74" t="str">
        <x:v>高</x:v>
      </x:c>
      <x:c r="N11" s="114" t="str">
        <x:v>取込み候補</x:v>
      </x:c>
      <x:c r="O11" s="114" t="str"/>
      <x:c r="P11" s="114" t="str"/>
      <x:c r="Q11" s="115" t="str"/>
      <x:c r="R11" s="115" t="str"/>
      <x:c r="S11" s="114" t="str"/>
      <x:c r="T11" s="116" t="str"/>
      <x:c r="U11" s="114" t="str"/>
      <x:c r="V11" s="114" t="str">
        <x:v>未判定</x:v>
      </x:c>
      <x:c r="W11" s="117" t="str"/>
    </x:row>
    <x:row r="12" ht="30" customHeight="1">
      <x:c r="A12" s="87" t="str">
        <x:v>初期・状況</x:v>
      </x:c>
      <x:c r="B12" s="74" t="str">
        <x:v>AG02 資金不足・支払い</x:v>
      </x:c>
      <x:c r="C12" s="74" t="str">
        <x:v>資金不足・固定費支払</x:v>
      </x:c>
      <x:c r="D12" s="74" t="str">
        <x:v>運送会社 資金不足</x:v>
      </x:c>
      <x:c r="E12" s="74" t="str">
        <x:v>Phrase</x:v>
      </x:c>
      <x:c r="F12" s="76" t="n">
        <x:v>50</x:v>
      </x:c>
      <x:c r="G12" s="74" t="str">
        <x:v>0〜10</x:v>
      </x:c>
      <x:c r="H12" s="74" t="str">
        <x:v>—</x:v>
      </x:c>
      <x:c r="I12" s="76" t="str">
        <x:v>—</x:v>
      </x:c>
      <x:c r="J12" s="76" t="str">
        <x:v>—</x:v>
      </x:c>
      <x:c r="K12" s="74" t="str">
        <x:v>高</x:v>
      </x:c>
      <x:c r="L12" s="74" t="str">
        <x:v>中</x:v>
      </x:c>
      <x:c r="M12" s="74" t="str">
        <x:v>中</x:v>
      </x:c>
      <x:c r="N12" s="114" t="str">
        <x:v>取込み候補</x:v>
      </x:c>
      <x:c r="O12" s="114" t="str"/>
      <x:c r="P12" s="114" t="str"/>
      <x:c r="Q12" s="115" t="str"/>
      <x:c r="R12" s="115" t="str"/>
      <x:c r="S12" s="114" t="str"/>
      <x:c r="T12" s="116" t="str"/>
      <x:c r="U12" s="114" t="str"/>
      <x:c r="V12" s="114" t="str">
        <x:v>未判定</x:v>
      </x:c>
      <x:c r="W12" s="117" t="str"/>
    </x:row>
    <x:row r="13" ht="30" customHeight="1">
      <x:c r="A13" s="87" t="str">
        <x:v>初期・状況</x:v>
      </x:c>
      <x:c r="B13" s="74" t="str">
        <x:v>AG02 資金不足・支払い</x:v>
      </x:c>
      <x:c r="C13" s="74" t="str">
        <x:v>資金不足・固定費支払</x:v>
      </x:c>
      <x:c r="D13" s="74" t="str">
        <x:v>運送会社 資金ショート</x:v>
      </x:c>
      <x:c r="E13" s="74" t="str">
        <x:v>Phrase</x:v>
      </x:c>
      <x:c r="F13" s="76" t="n">
        <x:v>50</x:v>
      </x:c>
      <x:c r="G13" s="74" t="str">
        <x:v>0〜10</x:v>
      </x:c>
      <x:c r="H13" s="74" t="str">
        <x:v>—</x:v>
      </x:c>
      <x:c r="I13" s="76" t="str">
        <x:v>—</x:v>
      </x:c>
      <x:c r="J13" s="76" t="str">
        <x:v>—</x:v>
      </x:c>
      <x:c r="K13" s="74" t="str">
        <x:v>高</x:v>
      </x:c>
      <x:c r="L13" s="74" t="str">
        <x:v>中</x:v>
      </x:c>
      <x:c r="M13" s="74" t="str">
        <x:v>中</x:v>
      </x:c>
      <x:c r="N13" s="114" t="str">
        <x:v>取込み候補</x:v>
      </x:c>
      <x:c r="O13" s="114" t="str"/>
      <x:c r="P13" s="114" t="str"/>
      <x:c r="Q13" s="115" t="str"/>
      <x:c r="R13" s="115" t="str"/>
      <x:c r="S13" s="114" t="str"/>
      <x:c r="T13" s="116" t="str"/>
      <x:c r="U13" s="114" t="str"/>
      <x:c r="V13" s="114" t="str">
        <x:v>未判定</x:v>
      </x:c>
      <x:c r="W13" s="117" t="str"/>
    </x:row>
    <x:row r="14" ht="30" customHeight="1">
      <x:c r="A14" s="87" t="str">
        <x:v>初期・状況</x:v>
      </x:c>
      <x:c r="B14" s="74" t="str">
        <x:v>AG02 資金不足・支払い</x:v>
      </x:c>
      <x:c r="C14" s="74" t="str">
        <x:v>資金不足・固定費支払</x:v>
      </x:c>
      <x:c r="D14" s="74" t="str">
        <x:v>運送業 支払い 間に合わない</x:v>
      </x:c>
      <x:c r="E14" s="74" t="str">
        <x:v>Phrase</x:v>
      </x:c>
      <x:c r="F14" s="76" t="n">
        <x:v>50</x:v>
      </x:c>
      <x:c r="G14" s="74" t="str">
        <x:v>0〜10</x:v>
      </x:c>
      <x:c r="H14" s="74" t="str">
        <x:v>—</x:v>
      </x:c>
      <x:c r="I14" s="76" t="str">
        <x:v>—</x:v>
      </x:c>
      <x:c r="J14" s="76" t="str">
        <x:v>—</x:v>
      </x:c>
      <x:c r="K14" s="74" t="str">
        <x:v>高</x:v>
      </x:c>
      <x:c r="L14" s="74" t="str">
        <x:v>中</x:v>
      </x:c>
      <x:c r="M14" s="74" t="str">
        <x:v>中</x:v>
      </x:c>
      <x:c r="N14" s="114" t="str">
        <x:v>取込み候補</x:v>
      </x:c>
      <x:c r="O14" s="114" t="str"/>
      <x:c r="P14" s="114" t="str"/>
      <x:c r="Q14" s="115" t="str"/>
      <x:c r="R14" s="115" t="str"/>
      <x:c r="S14" s="114" t="str"/>
      <x:c r="T14" s="116" t="str"/>
      <x:c r="U14" s="114" t="str"/>
      <x:c r="V14" s="114" t="str">
        <x:v>未判定</x:v>
      </x:c>
      <x:c r="W14" s="117" t="str"/>
    </x:row>
    <x:row r="15" ht="30" customHeight="1">
      <x:c r="A15" s="87" t="str">
        <x:v>初期・状況</x:v>
      </x:c>
      <x:c r="B15" s="74" t="str">
        <x:v>AG02 資金不足・支払い</x:v>
      </x:c>
      <x:c r="C15" s="74" t="str">
        <x:v>資金不足・固定費支払</x:v>
      </x:c>
      <x:c r="D15" s="74" t="str">
        <x:v>運送業 燃料代 払えない</x:v>
      </x:c>
      <x:c r="E15" s="74" t="str">
        <x:v>Phrase</x:v>
      </x:c>
      <x:c r="F15" s="76" t="n">
        <x:v>50</x:v>
      </x:c>
      <x:c r="G15" s="74" t="str">
        <x:v>0〜10</x:v>
      </x:c>
      <x:c r="H15" s="74" t="str">
        <x:v>—</x:v>
      </x:c>
      <x:c r="I15" s="76" t="str">
        <x:v>—</x:v>
      </x:c>
      <x:c r="J15" s="76" t="str">
        <x:v>—</x:v>
      </x:c>
      <x:c r="K15" s="74" t="str">
        <x:v>高</x:v>
      </x:c>
      <x:c r="L15" s="74" t="str">
        <x:v>中</x:v>
      </x:c>
      <x:c r="M15" s="74" t="str">
        <x:v>中</x:v>
      </x:c>
      <x:c r="N15" s="114" t="str">
        <x:v>取込み候補</x:v>
      </x:c>
      <x:c r="O15" s="114" t="str"/>
      <x:c r="P15" s="114" t="str"/>
      <x:c r="Q15" s="115" t="str"/>
      <x:c r="R15" s="115" t="str"/>
      <x:c r="S15" s="114" t="str"/>
      <x:c r="T15" s="116" t="str"/>
      <x:c r="U15" s="114" t="str"/>
      <x:c r="V15" s="114" t="str">
        <x:v>未判定</x:v>
      </x:c>
      <x:c r="W15" s="117" t="str"/>
    </x:row>
    <x:row r="16" ht="30" customHeight="1">
      <x:c r="A16" s="87" t="str">
        <x:v>初期・状況</x:v>
      </x:c>
      <x:c r="B16" s="74" t="str">
        <x:v>AG02 資金不足・支払い</x:v>
      </x:c>
      <x:c r="C16" s="74" t="str">
        <x:v>資金不足・固定費支払</x:v>
      </x:c>
      <x:c r="D16" s="74" t="str">
        <x:v>運送会社 給料 払えない</x:v>
      </x:c>
      <x:c r="E16" s="74" t="str">
        <x:v>Phrase</x:v>
      </x:c>
      <x:c r="F16" s="76" t="n">
        <x:v>50</x:v>
      </x:c>
      <x:c r="G16" s="74" t="str">
        <x:v>0〜10</x:v>
      </x:c>
      <x:c r="H16" s="74" t="str">
        <x:v>—</x:v>
      </x:c>
      <x:c r="I16" s="76" t="str">
        <x:v>—</x:v>
      </x:c>
      <x:c r="J16" s="76" t="str">
        <x:v>—</x:v>
      </x:c>
      <x:c r="K16" s="74" t="str">
        <x:v>高</x:v>
      </x:c>
      <x:c r="L16" s="74" t="str">
        <x:v>中</x:v>
      </x:c>
      <x:c r="M16" s="74" t="str">
        <x:v>中</x:v>
      </x:c>
      <x:c r="N16" s="114" t="str">
        <x:v>取込み候補</x:v>
      </x:c>
      <x:c r="O16" s="114" t="str"/>
      <x:c r="P16" s="114" t="str"/>
      <x:c r="Q16" s="115" t="str"/>
      <x:c r="R16" s="115" t="str"/>
      <x:c r="S16" s="114" t="str"/>
      <x:c r="T16" s="116" t="str"/>
      <x:c r="U16" s="114" t="str"/>
      <x:c r="V16" s="114" t="str">
        <x:v>未判定</x:v>
      </x:c>
      <x:c r="W16" s="117" t="str"/>
    </x:row>
    <x:row r="17" ht="30" customHeight="1">
      <x:c r="A17" s="87" t="str">
        <x:v>初期・車両</x:v>
      </x:c>
      <x:c r="B17" s="74" t="str">
        <x:v>AG03 車両資金</x:v>
      </x:c>
      <x:c r="C17" s="74" t="str">
        <x:v>修理・増車の資金需要</x:v>
      </x:c>
      <x:c r="D17" s="74" t="str">
        <x:v>運送会社 車両修理 資金</x:v>
      </x:c>
      <x:c r="E17" s="74" t="str">
        <x:v>Phrase</x:v>
      </x:c>
      <x:c r="F17" s="76" t="n">
        <x:v>50</x:v>
      </x:c>
      <x:c r="G17" s="74" t="str">
        <x:v>0〜10</x:v>
      </x:c>
      <x:c r="H17" s="74" t="str">
        <x:v>—</x:v>
      </x:c>
      <x:c r="I17" s="76" t="str">
        <x:v>—</x:v>
      </x:c>
      <x:c r="J17" s="76" t="str">
        <x:v>—</x:v>
      </x:c>
      <x:c r="K17" s="74" t="str">
        <x:v>中</x:v>
      </x:c>
      <x:c r="L17" s="74" t="str">
        <x:v>中</x:v>
      </x:c>
      <x:c r="M17" s="74" t="str">
        <x:v>中</x:v>
      </x:c>
      <x:c r="N17" s="114" t="str">
        <x:v>取込み候補</x:v>
      </x:c>
      <x:c r="O17" s="114" t="str"/>
      <x:c r="P17" s="114" t="str"/>
      <x:c r="Q17" s="115" t="str"/>
      <x:c r="R17" s="115" t="str"/>
      <x:c r="S17" s="114" t="str"/>
      <x:c r="T17" s="116" t="str"/>
      <x:c r="U17" s="114" t="str"/>
      <x:c r="V17" s="114" t="str">
        <x:v>未判定</x:v>
      </x:c>
      <x:c r="W17" s="117" t="str"/>
    </x:row>
    <x:row r="18" ht="30" customHeight="1">
      <x:c r="A18" s="87" t="str">
        <x:v>初期・車両</x:v>
      </x:c>
      <x:c r="B18" s="74" t="str">
        <x:v>AG03 車両資金</x:v>
      </x:c>
      <x:c r="C18" s="74" t="str">
        <x:v>修理・増車の資金需要</x:v>
      </x:c>
      <x:c r="D18" s="74" t="str">
        <x:v>トラック 修理 資金</x:v>
      </x:c>
      <x:c r="E18" s="74" t="str">
        <x:v>Phrase</x:v>
      </x:c>
      <x:c r="F18" s="76" t="n">
        <x:v>50</x:v>
      </x:c>
      <x:c r="G18" s="74" t="str">
        <x:v>0〜10</x:v>
      </x:c>
      <x:c r="H18" s="74" t="str">
        <x:v>—</x:v>
      </x:c>
      <x:c r="I18" s="76" t="str">
        <x:v>—</x:v>
      </x:c>
      <x:c r="J18" s="76" t="str">
        <x:v>—</x:v>
      </x:c>
      <x:c r="K18" s="74" t="str">
        <x:v>中</x:v>
      </x:c>
      <x:c r="L18" s="74" t="str">
        <x:v>中</x:v>
      </x:c>
      <x:c r="M18" s="74" t="str">
        <x:v>中</x:v>
      </x:c>
      <x:c r="N18" s="114" t="str">
        <x:v>取込み候補</x:v>
      </x:c>
      <x:c r="O18" s="114" t="str"/>
      <x:c r="P18" s="114" t="str"/>
      <x:c r="Q18" s="115" t="str"/>
      <x:c r="R18" s="115" t="str"/>
      <x:c r="S18" s="114" t="str"/>
      <x:c r="T18" s="116" t="str"/>
      <x:c r="U18" s="114" t="str"/>
      <x:c r="V18" s="114" t="str">
        <x:v>未判定</x:v>
      </x:c>
      <x:c r="W18" s="117" t="str"/>
    </x:row>
    <x:row r="19" ht="30" customHeight="1">
      <x:c r="A19" s="87" t="str">
        <x:v>初期・車両</x:v>
      </x:c>
      <x:c r="B19" s="74" t="str">
        <x:v>AG03 車両資金</x:v>
      </x:c>
      <x:c r="C19" s="74" t="str">
        <x:v>修理・増車の資金需要</x:v>
      </x:c>
      <x:c r="D19" s="74" t="str">
        <x:v>トラック 修理費 払えない</x:v>
      </x:c>
      <x:c r="E19" s="74" t="str">
        <x:v>Phrase</x:v>
      </x:c>
      <x:c r="F19" s="76" t="n">
        <x:v>50</x:v>
      </x:c>
      <x:c r="G19" s="74" t="str">
        <x:v>0〜10</x:v>
      </x:c>
      <x:c r="H19" s="74" t="str">
        <x:v>—</x:v>
      </x:c>
      <x:c r="I19" s="76" t="str">
        <x:v>—</x:v>
      </x:c>
      <x:c r="J19" s="76" t="str">
        <x:v>—</x:v>
      </x:c>
      <x:c r="K19" s="74" t="str">
        <x:v>中</x:v>
      </x:c>
      <x:c r="L19" s="74" t="str">
        <x:v>中</x:v>
      </x:c>
      <x:c r="M19" s="74" t="str">
        <x:v>中</x:v>
      </x:c>
      <x:c r="N19" s="114" t="str">
        <x:v>取込み候補</x:v>
      </x:c>
      <x:c r="O19" s="114" t="str"/>
      <x:c r="P19" s="114" t="str"/>
      <x:c r="Q19" s="115" t="str"/>
      <x:c r="R19" s="115" t="str"/>
      <x:c r="S19" s="114" t="str"/>
      <x:c r="T19" s="116" t="str"/>
      <x:c r="U19" s="114" t="str"/>
      <x:c r="V19" s="114" t="str">
        <x:v>未判定</x:v>
      </x:c>
      <x:c r="W19" s="117" t="str"/>
    </x:row>
    <x:row r="20" ht="30" customHeight="1">
      <x:c r="A20" s="87" t="str">
        <x:v>初期・車両</x:v>
      </x:c>
      <x:c r="B20" s="74" t="str">
        <x:v>AG03 車両資金</x:v>
      </x:c>
      <x:c r="C20" s="74" t="str">
        <x:v>修理・増車の資金需要</x:v>
      </x:c>
      <x:c r="D20" s="74" t="str">
        <x:v>トラック 増車 資金</x:v>
      </x:c>
      <x:c r="E20" s="74" t="str">
        <x:v>Phrase</x:v>
      </x:c>
      <x:c r="F20" s="76" t="n">
        <x:v>50</x:v>
      </x:c>
      <x:c r="G20" s="74" t="str">
        <x:v>0〜10</x:v>
      </x:c>
      <x:c r="H20" s="74" t="str">
        <x:v>—</x:v>
      </x:c>
      <x:c r="I20" s="76" t="str">
        <x:v>—</x:v>
      </x:c>
      <x:c r="J20" s="76" t="str">
        <x:v>—</x:v>
      </x:c>
      <x:c r="K20" s="74" t="str">
        <x:v>中</x:v>
      </x:c>
      <x:c r="L20" s="74" t="str">
        <x:v>中</x:v>
      </x:c>
      <x:c r="M20" s="74" t="str">
        <x:v>中</x:v>
      </x:c>
      <x:c r="N20" s="114" t="str">
        <x:v>取込み候補</x:v>
      </x:c>
      <x:c r="O20" s="114" t="str"/>
      <x:c r="P20" s="114" t="str"/>
      <x:c r="Q20" s="115" t="str"/>
      <x:c r="R20" s="115" t="str"/>
      <x:c r="S20" s="114" t="str"/>
      <x:c r="T20" s="116" t="str"/>
      <x:c r="U20" s="114" t="str"/>
      <x:c r="V20" s="114" t="str">
        <x:v>未判定</x:v>
      </x:c>
      <x:c r="W20" s="117" t="str"/>
    </x:row>
    <x:row r="21" ht="30" customHeight="1">
      <x:c r="A21" s="87" t="str">
        <x:v>追加・本命</x:v>
      </x:c>
      <x:c r="B21" s="74" t="str">
        <x:v>AG04 傭車・協力会社支払</x:v>
      </x:c>
      <x:c r="C21" s="74" t="str">
        <x:v>傭車費／協力会社への先行支払</x:v>
      </x:c>
      <x:c r="D21" s="74" t="str">
        <x:v>傭車費</x:v>
      </x:c>
      <x:c r="E21" s="74" t="str">
        <x:v>Phrase</x:v>
      </x:c>
      <x:c r="F21" s="76" t="n">
        <x:v>50</x:v>
      </x:c>
      <x:c r="G21" s="74" t="str">
        <x:v>100〜1,000</x:v>
      </x:c>
      <x:c r="H21" s="74" t="str">
        <x:v>低</x:v>
      </x:c>
      <x:c r="I21" s="76" t="str">
        <x:v>—</x:v>
      </x:c>
      <x:c r="J21" s="76" t="str">
        <x:v>—</x:v>
      </x:c>
      <x:c r="K21" s="74" t="str">
        <x:v>非常に高</x:v>
      </x:c>
      <x:c r="L21" s="74" t="str">
        <x:v>高</x:v>
      </x:c>
      <x:c r="M21" s="74" t="str">
        <x:v>高</x:v>
      </x:c>
      <x:c r="N21" s="114" t="str">
        <x:v>取込み候補</x:v>
      </x:c>
      <x:c r="O21" s="114" t="str"/>
      <x:c r="P21" s="114" t="str"/>
      <x:c r="Q21" s="115" t="str"/>
      <x:c r="R21" s="115" t="str"/>
      <x:c r="S21" s="114" t="str"/>
      <x:c r="T21" s="116" t="str"/>
      <x:c r="U21" s="114" t="str"/>
      <x:c r="V21" s="114" t="str">
        <x:v>未判定</x:v>
      </x:c>
      <x:c r="W21" s="117" t="str"/>
    </x:row>
    <x:row r="22" ht="30" customHeight="1">
      <x:c r="A22" s="87" t="str">
        <x:v>追加・本命</x:v>
      </x:c>
      <x:c r="B22" s="74" t="str">
        <x:v>AG04 傭車・協力会社支払</x:v>
      </x:c>
      <x:c r="C22" s="74" t="str">
        <x:v>傭車費／協力会社への先行支払</x:v>
      </x:c>
      <x:c r="D22" s="74" t="str">
        <x:v>傭車代</x:v>
      </x:c>
      <x:c r="E22" s="74" t="str">
        <x:v>Exact</x:v>
      </x:c>
      <x:c r="F22" s="76" t="n">
        <x:v>50</x:v>
      </x:c>
      <x:c r="G22" s="74" t="str">
        <x:v>10〜100</x:v>
      </x:c>
      <x:c r="H22" s="74" t="str">
        <x:v>低</x:v>
      </x:c>
      <x:c r="I22" s="76" t="str">
        <x:v>—</x:v>
      </x:c>
      <x:c r="J22" s="76" t="str">
        <x:v>—</x:v>
      </x:c>
      <x:c r="K22" s="74" t="str">
        <x:v>非常に高</x:v>
      </x:c>
      <x:c r="L22" s="74" t="str">
        <x:v>高</x:v>
      </x:c>
      <x:c r="M22" s="74" t="str">
        <x:v>高</x:v>
      </x:c>
      <x:c r="N22" s="114" t="str">
        <x:v>取込み候補</x:v>
      </x:c>
      <x:c r="O22" s="114" t="str"/>
      <x:c r="P22" s="114" t="str"/>
      <x:c r="Q22" s="115" t="str"/>
      <x:c r="R22" s="115" t="str"/>
      <x:c r="S22" s="114" t="str"/>
      <x:c r="T22" s="116" t="str"/>
      <x:c r="U22" s="114" t="str"/>
      <x:c r="V22" s="114" t="str">
        <x:v>未判定</x:v>
      </x:c>
      <x:c r="W22" s="117" t="str"/>
    </x:row>
    <x:row r="23" ht="30" customHeight="1">
      <x:c r="A23" s="87" t="str">
        <x:v>追加・本命</x:v>
      </x:c>
      <x:c r="B23" s="74" t="str">
        <x:v>AG04 傭車・協力会社支払</x:v>
      </x:c>
      <x:c r="C23" s="74" t="str">
        <x:v>傭車費／協力会社への先行支払</x:v>
      </x:c>
      <x:c r="D23" s="74" t="str">
        <x:v>傭車費</x:v>
      </x:c>
      <x:c r="E23" s="74" t="str">
        <x:v>Exact</x:v>
      </x:c>
      <x:c r="F23" s="76" t="n">
        <x:v>50</x:v>
      </x:c>
      <x:c r="G23" s="74" t="str">
        <x:v>100〜1,000</x:v>
      </x:c>
      <x:c r="H23" s="74" t="str">
        <x:v>低</x:v>
      </x:c>
      <x:c r="I23" s="76" t="str">
        <x:v>—</x:v>
      </x:c>
      <x:c r="J23" s="76" t="str">
        <x:v>—</x:v>
      </x:c>
      <x:c r="K23" s="74" t="str">
        <x:v>非常に高</x:v>
      </x:c>
      <x:c r="L23" s="74" t="str">
        <x:v>高</x:v>
      </x:c>
      <x:c r="M23" s="74" t="str">
        <x:v>高</x:v>
      </x:c>
      <x:c r="N23" s="114" t="str">
        <x:v>取込み候補</x:v>
      </x:c>
      <x:c r="O23" s="114" t="str"/>
      <x:c r="P23" s="114" t="str"/>
      <x:c r="Q23" s="115" t="str"/>
      <x:c r="R23" s="115" t="str"/>
      <x:c r="S23" s="114" t="str"/>
      <x:c r="T23" s="116" t="str"/>
      <x:c r="U23" s="114" t="str"/>
      <x:c r="V23" s="114" t="str">
        <x:v>未判定</x:v>
      </x:c>
      <x:c r="W23" s="117" t="str"/>
    </x:row>
    <x:row r="24" ht="30" customHeight="1">
      <x:c r="A24" s="87" t="str">
        <x:v>追加・本命</x:v>
      </x:c>
      <x:c r="B24" s="74" t="str">
        <x:v>AG04 傭車・協力会社支払</x:v>
      </x:c>
      <x:c r="C24" s="74" t="str">
        <x:v>傭車費／協力会社への先行支払</x:v>
      </x:c>
      <x:c r="D24" s="74" t="str">
        <x:v>庸車代</x:v>
      </x:c>
      <x:c r="E24" s="74" t="str">
        <x:v>Exact</x:v>
      </x:c>
      <x:c r="F24" s="76" t="n">
        <x:v>50</x:v>
      </x:c>
      <x:c r="G24" s="74" t="str">
        <x:v>10〜100</x:v>
      </x:c>
      <x:c r="H24" s="74" t="str">
        <x:v>低</x:v>
      </x:c>
      <x:c r="I24" s="76" t="str">
        <x:v>—</x:v>
      </x:c>
      <x:c r="J24" s="76" t="str">
        <x:v>—</x:v>
      </x:c>
      <x:c r="K24" s="74" t="str">
        <x:v>非常に高</x:v>
      </x:c>
      <x:c r="L24" s="74" t="str">
        <x:v>高</x:v>
      </x:c>
      <x:c r="M24" s="74" t="str">
        <x:v>高</x:v>
      </x:c>
      <x:c r="N24" s="114" t="str">
        <x:v>取込み候補</x:v>
      </x:c>
      <x:c r="O24" s="114" t="str"/>
      <x:c r="P24" s="114" t="str"/>
      <x:c r="Q24" s="115" t="str"/>
      <x:c r="R24" s="115" t="str"/>
      <x:c r="S24" s="114" t="str"/>
      <x:c r="T24" s="116" t="str"/>
      <x:c r="U24" s="114" t="str"/>
      <x:c r="V24" s="114" t="str">
        <x:v>未判定</x:v>
      </x:c>
      <x:c r="W24" s="117" t="str"/>
    </x:row>
    <x:row r="25" ht="30" customHeight="1">
      <x:c r="A25" s="87" t="str">
        <x:v>追加・本命</x:v>
      </x:c>
      <x:c r="B25" s="74" t="str">
        <x:v>AG04 傭車・協力会社支払</x:v>
      </x:c>
      <x:c r="C25" s="74" t="str">
        <x:v>傭車費／協力会社への先行支払</x:v>
      </x:c>
      <x:c r="D25" s="74" t="str">
        <x:v>庸車費</x:v>
      </x:c>
      <x:c r="E25" s="74" t="str">
        <x:v>Exact</x:v>
      </x:c>
      <x:c r="F25" s="76" t="n">
        <x:v>50</x:v>
      </x:c>
      <x:c r="G25" s="74" t="str">
        <x:v>10〜100</x:v>
      </x:c>
      <x:c r="H25" s="74" t="str">
        <x:v>低</x:v>
      </x:c>
      <x:c r="I25" s="76" t="str">
        <x:v>—</x:v>
      </x:c>
      <x:c r="J25" s="76" t="str">
        <x:v>—</x:v>
      </x:c>
      <x:c r="K25" s="74" t="str">
        <x:v>非常に高</x:v>
      </x:c>
      <x:c r="L25" s="74" t="str">
        <x:v>高</x:v>
      </x:c>
      <x:c r="M25" s="74" t="str">
        <x:v>高</x:v>
      </x:c>
      <x:c r="N25" s="114" t="str">
        <x:v>取込み候補</x:v>
      </x:c>
      <x:c r="O25" s="114" t="str"/>
      <x:c r="P25" s="114" t="str"/>
      <x:c r="Q25" s="115" t="str"/>
      <x:c r="R25" s="115" t="str"/>
      <x:c r="S25" s="114" t="str"/>
      <x:c r="T25" s="116" t="str"/>
      <x:c r="U25" s="114" t="str"/>
      <x:c r="V25" s="114" t="str">
        <x:v>未判定</x:v>
      </x:c>
      <x:c r="W25" s="117" t="str"/>
    </x:row>
    <x:row r="26" ht="30" customHeight="1">
      <x:c r="A26" s="87" t="str">
        <x:v>追加・本命</x:v>
      </x:c>
      <x:c r="B26" s="74" t="str">
        <x:v>AG04 傭車・協力会社支払</x:v>
      </x:c>
      <x:c r="C26" s="74" t="str">
        <x:v>傭車費／協力会社への先行支払</x:v>
      </x:c>
      <x:c r="D26" s="74" t="str">
        <x:v>傭車代 支払い</x:v>
      </x:c>
      <x:c r="E26" s="74" t="str">
        <x:v>Exact</x:v>
      </x:c>
      <x:c r="F26" s="76" t="n">
        <x:v>50</x:v>
      </x:c>
      <x:c r="G26" s="74" t="str">
        <x:v>0〜10</x:v>
      </x:c>
      <x:c r="H26" s="74" t="str">
        <x:v>—</x:v>
      </x:c>
      <x:c r="I26" s="76" t="str">
        <x:v>—</x:v>
      </x:c>
      <x:c r="J26" s="76" t="str">
        <x:v>—</x:v>
      </x:c>
      <x:c r="K26" s="74" t="str">
        <x:v>非常に高</x:v>
      </x:c>
      <x:c r="L26" s="74" t="str">
        <x:v>高</x:v>
      </x:c>
      <x:c r="M26" s="74" t="str">
        <x:v>高</x:v>
      </x:c>
      <x:c r="N26" s="114" t="str">
        <x:v>取込み候補</x:v>
      </x:c>
      <x:c r="O26" s="114" t="str"/>
      <x:c r="P26" s="114" t="str"/>
      <x:c r="Q26" s="115" t="str"/>
      <x:c r="R26" s="115" t="str"/>
      <x:c r="S26" s="114" t="str"/>
      <x:c r="T26" s="116" t="str"/>
      <x:c r="U26" s="114" t="str"/>
      <x:c r="V26" s="114" t="str">
        <x:v>未判定</x:v>
      </x:c>
      <x:c r="W26" s="117" t="str"/>
    </x:row>
    <x:row r="27" ht="30" customHeight="1">
      <x:c r="A27" s="87" t="str">
        <x:v>追加・本命</x:v>
      </x:c>
      <x:c r="B27" s="74" t="str">
        <x:v>AG04 傭車・協力会社支払</x:v>
      </x:c>
      <x:c r="C27" s="74" t="str">
        <x:v>傭車費／協力会社への先行支払</x:v>
      </x:c>
      <x:c r="D27" s="74" t="str">
        <x:v>傭車代 資金繰り</x:v>
      </x:c>
      <x:c r="E27" s="74" t="str">
        <x:v>Exact</x:v>
      </x:c>
      <x:c r="F27" s="76" t="n">
        <x:v>50</x:v>
      </x:c>
      <x:c r="G27" s="74" t="str">
        <x:v>0〜10</x:v>
      </x:c>
      <x:c r="H27" s="74" t="str">
        <x:v>—</x:v>
      </x:c>
      <x:c r="I27" s="76" t="str">
        <x:v>—</x:v>
      </x:c>
      <x:c r="J27" s="76" t="str">
        <x:v>—</x:v>
      </x:c>
      <x:c r="K27" s="74" t="str">
        <x:v>非常に高</x:v>
      </x:c>
      <x:c r="L27" s="74" t="str">
        <x:v>高</x:v>
      </x:c>
      <x:c r="M27" s="74" t="str">
        <x:v>高</x:v>
      </x:c>
      <x:c r="N27" s="114" t="str">
        <x:v>取込み候補</x:v>
      </x:c>
      <x:c r="O27" s="114" t="str"/>
      <x:c r="P27" s="114" t="str"/>
      <x:c r="Q27" s="115" t="str"/>
      <x:c r="R27" s="115" t="str"/>
      <x:c r="S27" s="114" t="str"/>
      <x:c r="T27" s="116" t="str"/>
      <x:c r="U27" s="114" t="str"/>
      <x:c r="V27" s="114" t="str">
        <x:v>未判定</x:v>
      </x:c>
      <x:c r="W27" s="117" t="str"/>
    </x:row>
    <x:row r="28" ht="30" customHeight="1">
      <x:c r="A28" s="87" t="str">
        <x:v>追加・本命</x:v>
      </x:c>
      <x:c r="B28" s="74" t="str">
        <x:v>AG04 傭車・協力会社支払</x:v>
      </x:c>
      <x:c r="C28" s="74" t="str">
        <x:v>傭車費／協力会社への先行支払</x:v>
      </x:c>
      <x:c r="D28" s="74" t="str">
        <x:v>協力会社 支払い 間に合わない 運送</x:v>
      </x:c>
      <x:c r="E28" s="74" t="str">
        <x:v>Exact</x:v>
      </x:c>
      <x:c r="F28" s="76" t="n">
        <x:v>50</x:v>
      </x:c>
      <x:c r="G28" s="74" t="str">
        <x:v>0〜10</x:v>
      </x:c>
      <x:c r="H28" s="74" t="str">
        <x:v>—</x:v>
      </x:c>
      <x:c r="I28" s="76" t="str">
        <x:v>—</x:v>
      </x:c>
      <x:c r="J28" s="76" t="str">
        <x:v>—</x:v>
      </x:c>
      <x:c r="K28" s="74" t="str">
        <x:v>非常に高</x:v>
      </x:c>
      <x:c r="L28" s="74" t="str">
        <x:v>高</x:v>
      </x:c>
      <x:c r="M28" s="74" t="str">
        <x:v>高</x:v>
      </x:c>
      <x:c r="N28" s="114" t="str">
        <x:v>取込み候補</x:v>
      </x:c>
      <x:c r="O28" s="114" t="str"/>
      <x:c r="P28" s="114" t="str"/>
      <x:c r="Q28" s="115" t="str"/>
      <x:c r="R28" s="115" t="str"/>
      <x:c r="S28" s="114" t="str"/>
      <x:c r="T28" s="116" t="str"/>
      <x:c r="U28" s="114" t="str"/>
      <x:c r="V28" s="114" t="str">
        <x:v>未判定</x:v>
      </x:c>
      <x:c r="W28" s="117" t="str"/>
    </x:row>
    <x:row r="29" ht="30" customHeight="1">
      <x:c r="A29" s="87" t="str">
        <x:v>追加・本命</x:v>
      </x:c>
      <x:c r="B29" s="74" t="str">
        <x:v>AG04 傭車・協力会社支払</x:v>
      </x:c>
      <x:c r="C29" s="74" t="str">
        <x:v>傭車費／協力会社への先行支払</x:v>
      </x:c>
      <x:c r="D29" s="74" t="str">
        <x:v>繁忙期 傭車 資金</x:v>
      </x:c>
      <x:c r="E29" s="74" t="str">
        <x:v>Exact</x:v>
      </x:c>
      <x:c r="F29" s="76" t="n">
        <x:v>50</x:v>
      </x:c>
      <x:c r="G29" s="74" t="str">
        <x:v>0〜10</x:v>
      </x:c>
      <x:c r="H29" s="74" t="str">
        <x:v>—</x:v>
      </x:c>
      <x:c r="I29" s="76" t="str">
        <x:v>—</x:v>
      </x:c>
      <x:c r="J29" s="76" t="str">
        <x:v>—</x:v>
      </x:c>
      <x:c r="K29" s="74" t="str">
        <x:v>非常に高</x:v>
      </x:c>
      <x:c r="L29" s="74" t="str">
        <x:v>高</x:v>
      </x:c>
      <x:c r="M29" s="74" t="str">
        <x:v>高</x:v>
      </x:c>
      <x:c r="N29" s="114" t="str">
        <x:v>取込み候補</x:v>
      </x:c>
      <x:c r="O29" s="114" t="str"/>
      <x:c r="P29" s="114" t="str"/>
      <x:c r="Q29" s="115" t="str"/>
      <x:c r="R29" s="115" t="str"/>
      <x:c r="S29" s="114" t="str"/>
      <x:c r="T29" s="116" t="str"/>
      <x:c r="U29" s="114" t="str"/>
      <x:c r="V29" s="114" t="str">
        <x:v>未判定</x:v>
      </x:c>
      <x:c r="W29" s="117" t="str"/>
    </x:row>
    <x:row r="30" ht="30" customHeight="1">
      <x:c r="A30" s="87" t="str">
        <x:v>追加・本命</x:v>
      </x:c>
      <x:c r="B30" s="74" t="str">
        <x:v>AG04 傭車・協力会社支払</x:v>
      </x:c>
      <x:c r="C30" s="74" t="str">
        <x:v>傭車費／協力会社への先行支払</x:v>
      </x:c>
      <x:c r="D30" s="74" t="str">
        <x:v>受注増 傭車代</x:v>
      </x:c>
      <x:c r="E30" s="74" t="str">
        <x:v>Exact</x:v>
      </x:c>
      <x:c r="F30" s="76" t="n">
        <x:v>50</x:v>
      </x:c>
      <x:c r="G30" s="74" t="str">
        <x:v>0〜10</x:v>
      </x:c>
      <x:c r="H30" s="74" t="str">
        <x:v>—</x:v>
      </x:c>
      <x:c r="I30" s="76" t="str">
        <x:v>—</x:v>
      </x:c>
      <x:c r="J30" s="76" t="str">
        <x:v>—</x:v>
      </x:c>
      <x:c r="K30" s="74" t="str">
        <x:v>非常に高</x:v>
      </x:c>
      <x:c r="L30" s="74" t="str">
        <x:v>高</x:v>
      </x:c>
      <x:c r="M30" s="74" t="str">
        <x:v>高</x:v>
      </x:c>
      <x:c r="N30" s="114" t="str">
        <x:v>取込み候補</x:v>
      </x:c>
      <x:c r="O30" s="114" t="str"/>
      <x:c r="P30" s="114" t="str"/>
      <x:c r="Q30" s="115" t="str"/>
      <x:c r="R30" s="115" t="str"/>
      <x:c r="S30" s="114" t="str"/>
      <x:c r="T30" s="116" t="str"/>
      <x:c r="U30" s="114" t="str"/>
      <x:c r="V30" s="114" t="str">
        <x:v>未判定</x:v>
      </x:c>
      <x:c r="W30" s="117" t="str"/>
    </x:row>
    <x:row r="31" ht="30" customHeight="1">
      <x:c r="A31" s="87" t="str">
        <x:v>追加・本命</x:v>
      </x:c>
      <x:c r="B31" s="74" t="str">
        <x:v>AG05 受注増・入金ギャップ</x:v>
      </x:c>
      <x:c r="C31" s="74" t="str">
        <x:v>受注増・繁忙期・荷主入金待ち</x:v>
      </x:c>
      <x:c r="D31" s="74" t="str">
        <x:v>大口受注 資金不足 運送</x:v>
      </x:c>
      <x:c r="E31" s="74" t="str">
        <x:v>Exact</x:v>
      </x:c>
      <x:c r="F31" s="76" t="n">
        <x:v>50</x:v>
      </x:c>
      <x:c r="G31" s="74" t="str">
        <x:v>0〜10</x:v>
      </x:c>
      <x:c r="H31" s="74" t="str">
        <x:v>—</x:v>
      </x:c>
      <x:c r="I31" s="76" t="str">
        <x:v>—</x:v>
      </x:c>
      <x:c r="J31" s="76" t="str">
        <x:v>—</x:v>
      </x:c>
      <x:c r="K31" s="74" t="str">
        <x:v>高</x:v>
      </x:c>
      <x:c r="L31" s="74" t="str">
        <x:v>高</x:v>
      </x:c>
      <x:c r="M31" s="74" t="str">
        <x:v>高</x:v>
      </x:c>
      <x:c r="N31" s="114" t="str">
        <x:v>取込み候補</x:v>
      </x:c>
      <x:c r="O31" s="114" t="str"/>
      <x:c r="P31" s="114" t="str"/>
      <x:c r="Q31" s="115" t="str"/>
      <x:c r="R31" s="115" t="str"/>
      <x:c r="S31" s="114" t="str"/>
      <x:c r="T31" s="116" t="str"/>
      <x:c r="U31" s="114" t="str"/>
      <x:c r="V31" s="114" t="str">
        <x:v>未判定</x:v>
      </x:c>
      <x:c r="W31" s="117" t="str"/>
    </x:row>
    <x:row r="32" ht="30" customHeight="1">
      <x:c r="A32" s="87" t="str">
        <x:v>追加・本命</x:v>
      </x:c>
      <x:c r="B32" s="74" t="str">
        <x:v>AG05 受注増・入金ギャップ</x:v>
      </x:c>
      <x:c r="C32" s="74" t="str">
        <x:v>受注増・繁忙期・荷主入金待ち</x:v>
      </x:c>
      <x:c r="D32" s="74" t="str">
        <x:v>繁忙期 運転資金 運送会社</x:v>
      </x:c>
      <x:c r="E32" s="74" t="str">
        <x:v>Exact</x:v>
      </x:c>
      <x:c r="F32" s="76" t="n">
        <x:v>50</x:v>
      </x:c>
      <x:c r="G32" s="74" t="str">
        <x:v>0〜10</x:v>
      </x:c>
      <x:c r="H32" s="74" t="str">
        <x:v>—</x:v>
      </x:c>
      <x:c r="I32" s="76" t="str">
        <x:v>—</x:v>
      </x:c>
      <x:c r="J32" s="76" t="str">
        <x:v>—</x:v>
      </x:c>
      <x:c r="K32" s="74" t="str">
        <x:v>高</x:v>
      </x:c>
      <x:c r="L32" s="74" t="str">
        <x:v>高</x:v>
      </x:c>
      <x:c r="M32" s="74" t="str">
        <x:v>高</x:v>
      </x:c>
      <x:c r="N32" s="114" t="str">
        <x:v>取込み候補</x:v>
      </x:c>
      <x:c r="O32" s="114" t="str"/>
      <x:c r="P32" s="114" t="str"/>
      <x:c r="Q32" s="115" t="str"/>
      <x:c r="R32" s="115" t="str"/>
      <x:c r="S32" s="114" t="str"/>
      <x:c r="T32" s="116" t="str"/>
      <x:c r="U32" s="114" t="str"/>
      <x:c r="V32" s="114" t="str">
        <x:v>未判定</x:v>
      </x:c>
      <x:c r="W32" s="117" t="str"/>
    </x:row>
    <x:row r="33" ht="30" customHeight="1">
      <x:c r="A33" s="87" t="str">
        <x:v>追加・本命</x:v>
      </x:c>
      <x:c r="B33" s="74" t="str">
        <x:v>AG05 受注増・入金ギャップ</x:v>
      </x:c>
      <x:c r="C33" s="74" t="str">
        <x:v>受注増・繁忙期・荷主入金待ち</x:v>
      </x:c>
      <x:c r="D33" s="74" t="str">
        <x:v>増便 資金 運送会社</x:v>
      </x:c>
      <x:c r="E33" s="74" t="str">
        <x:v>Exact</x:v>
      </x:c>
      <x:c r="F33" s="76" t="n">
        <x:v>50</x:v>
      </x:c>
      <x:c r="G33" s="74" t="str">
        <x:v>0〜10</x:v>
      </x:c>
      <x:c r="H33" s="74" t="str">
        <x:v>—</x:v>
      </x:c>
      <x:c r="I33" s="76" t="str">
        <x:v>—</x:v>
      </x:c>
      <x:c r="J33" s="76" t="str">
        <x:v>—</x:v>
      </x:c>
      <x:c r="K33" s="74" t="str">
        <x:v>高</x:v>
      </x:c>
      <x:c r="L33" s="74" t="str">
        <x:v>高</x:v>
      </x:c>
      <x:c r="M33" s="74" t="str">
        <x:v>高</x:v>
      </x:c>
      <x:c r="N33" s="114" t="str">
        <x:v>取込み候補</x:v>
      </x:c>
      <x:c r="O33" s="114" t="str"/>
      <x:c r="P33" s="114" t="str"/>
      <x:c r="Q33" s="115" t="str"/>
      <x:c r="R33" s="115" t="str"/>
      <x:c r="S33" s="114" t="str"/>
      <x:c r="T33" s="116" t="str"/>
      <x:c r="U33" s="114" t="str"/>
      <x:c r="V33" s="114" t="str">
        <x:v>未判定</x:v>
      </x:c>
      <x:c r="W33" s="117" t="str"/>
    </x:row>
    <x:row r="34" ht="30" customHeight="1">
      <x:c r="A34" s="87" t="str">
        <x:v>追加・本命</x:v>
      </x:c>
      <x:c r="B34" s="74" t="str">
        <x:v>AG05 受注増・入金ギャップ</x:v>
      </x:c>
      <x:c r="C34" s="74" t="str">
        <x:v>受注増・繁忙期・荷主入金待ち</x:v>
      </x:c>
      <x:c r="D34" s="74" t="str">
        <x:v>新規荷主 運転資金</x:v>
      </x:c>
      <x:c r="E34" s="74" t="str">
        <x:v>Exact</x:v>
      </x:c>
      <x:c r="F34" s="76" t="n">
        <x:v>50</x:v>
      </x:c>
      <x:c r="G34" s="74" t="str">
        <x:v>0〜10</x:v>
      </x:c>
      <x:c r="H34" s="74" t="str">
        <x:v>—</x:v>
      </x:c>
      <x:c r="I34" s="76" t="str">
        <x:v>—</x:v>
      </x:c>
      <x:c r="J34" s="76" t="str">
        <x:v>—</x:v>
      </x:c>
      <x:c r="K34" s="74" t="str">
        <x:v>高</x:v>
      </x:c>
      <x:c r="L34" s="74" t="str">
        <x:v>高</x:v>
      </x:c>
      <x:c r="M34" s="74" t="str">
        <x:v>高</x:v>
      </x:c>
      <x:c r="N34" s="114" t="str">
        <x:v>取込み候補</x:v>
      </x:c>
      <x:c r="O34" s="114" t="str"/>
      <x:c r="P34" s="114" t="str"/>
      <x:c r="Q34" s="115" t="str"/>
      <x:c r="R34" s="115" t="str"/>
      <x:c r="S34" s="114" t="str"/>
      <x:c r="T34" s="116" t="str"/>
      <x:c r="U34" s="114" t="str"/>
      <x:c r="V34" s="114" t="str">
        <x:v>未判定</x:v>
      </x:c>
      <x:c r="W34" s="117" t="str"/>
    </x:row>
    <x:row r="35" ht="30" customHeight="1">
      <x:c r="A35" s="87" t="str">
        <x:v>追加・本命</x:v>
      </x:c>
      <x:c r="B35" s="74" t="str">
        <x:v>AG05 受注増・入金ギャップ</x:v>
      </x:c>
      <x:c r="C35" s="74" t="str">
        <x:v>受注増・繁忙期・荷主入金待ち</x:v>
      </x:c>
      <x:c r="D35" s="74" t="str">
        <x:v>荷主 入金 遅い 運送会社</x:v>
      </x:c>
      <x:c r="E35" s="74" t="str">
        <x:v>Exact</x:v>
      </x:c>
      <x:c r="F35" s="76" t="n">
        <x:v>50</x:v>
      </x:c>
      <x:c r="G35" s="74" t="str">
        <x:v>0〜10</x:v>
      </x:c>
      <x:c r="H35" s="74" t="str">
        <x:v>—</x:v>
      </x:c>
      <x:c r="I35" s="76" t="str">
        <x:v>—</x:v>
      </x:c>
      <x:c r="J35" s="76" t="str">
        <x:v>—</x:v>
      </x:c>
      <x:c r="K35" s="74" t="str">
        <x:v>高</x:v>
      </x:c>
      <x:c r="L35" s="74" t="str">
        <x:v>高</x:v>
      </x:c>
      <x:c r="M35" s="74" t="str">
        <x:v>高</x:v>
      </x:c>
      <x:c r="N35" s="114" t="str">
        <x:v>取込み候補</x:v>
      </x:c>
      <x:c r="O35" s="114" t="str"/>
      <x:c r="P35" s="114" t="str"/>
      <x:c r="Q35" s="115" t="str"/>
      <x:c r="R35" s="115" t="str"/>
      <x:c r="S35" s="114" t="str"/>
      <x:c r="T35" s="116" t="str"/>
      <x:c r="U35" s="114" t="str"/>
      <x:c r="V35" s="114" t="str">
        <x:v>未判定</x:v>
      </x:c>
      <x:c r="W35" s="117" t="str"/>
    </x:row>
    <x:row r="36" ht="30" customHeight="1">
      <x:c r="A36" s="87" t="str">
        <x:v>追加・本命</x:v>
      </x:c>
      <x:c r="B36" s="74" t="str">
        <x:v>AG05 受注増・入金ギャップ</x:v>
      </x:c>
      <x:c r="C36" s="74" t="str">
        <x:v>受注増・繁忙期・荷主入金待ち</x:v>
      </x:c>
      <x:c r="D36" s="74" t="str">
        <x:v>入金前 支払い 運送会社</x:v>
      </x:c>
      <x:c r="E36" s="74" t="str">
        <x:v>Exact</x:v>
      </x:c>
      <x:c r="F36" s="76" t="n">
        <x:v>50</x:v>
      </x:c>
      <x:c r="G36" s="74" t="str">
        <x:v>0〜10</x:v>
      </x:c>
      <x:c r="H36" s="74" t="str">
        <x:v>—</x:v>
      </x:c>
      <x:c r="I36" s="76" t="str">
        <x:v>—</x:v>
      </x:c>
      <x:c r="J36" s="76" t="str">
        <x:v>—</x:v>
      </x:c>
      <x:c r="K36" s="74" t="str">
        <x:v>高</x:v>
      </x:c>
      <x:c r="L36" s="74" t="str">
        <x:v>高</x:v>
      </x:c>
      <x:c r="M36" s="74" t="str">
        <x:v>高</x:v>
      </x:c>
      <x:c r="N36" s="114" t="str">
        <x:v>取込み候補</x:v>
      </x:c>
      <x:c r="O36" s="114" t="str"/>
      <x:c r="P36" s="114" t="str"/>
      <x:c r="Q36" s="115" t="str"/>
      <x:c r="R36" s="115" t="str"/>
      <x:c r="S36" s="114" t="str"/>
      <x:c r="T36" s="116" t="str"/>
      <x:c r="U36" s="114" t="str"/>
      <x:c r="V36" s="114" t="str">
        <x:v>未判定</x:v>
      </x:c>
      <x:c r="W36" s="117" t="str"/>
    </x:row>
    <x:row r="37" ht="30" customHeight="1">
      <x:c r="A37" s="87" t="str">
        <x:v>追加・本命</x:v>
      </x:c>
      <x:c r="B37" s="74" t="str">
        <x:v>AG05 受注増・入金ギャップ</x:v>
      </x:c>
      <x:c r="C37" s="74" t="str">
        <x:v>受注増・繁忙期・荷主入金待ち</x:v>
      </x:c>
      <x:c r="D37" s="74" t="str">
        <x:v>運送会社 売掛金 入金前 資金</x:v>
      </x:c>
      <x:c r="E37" s="74" t="str">
        <x:v>Exact</x:v>
      </x:c>
      <x:c r="F37" s="76" t="n">
        <x:v>50</x:v>
      </x:c>
      <x:c r="G37" s="74" t="str">
        <x:v>0〜10</x:v>
      </x:c>
      <x:c r="H37" s="74" t="str">
        <x:v>—</x:v>
      </x:c>
      <x:c r="I37" s="76" t="str">
        <x:v>—</x:v>
      </x:c>
      <x:c r="J37" s="76" t="str">
        <x:v>—</x:v>
      </x:c>
      <x:c r="K37" s="74" t="str">
        <x:v>高</x:v>
      </x:c>
      <x:c r="L37" s="74" t="str">
        <x:v>高</x:v>
      </x:c>
      <x:c r="M37" s="74" t="str">
        <x:v>高</x:v>
      </x:c>
      <x:c r="N37" s="114" t="str">
        <x:v>取込み候補</x:v>
      </x:c>
      <x:c r="O37" s="114" t="str"/>
      <x:c r="P37" s="114" t="str"/>
      <x:c r="Q37" s="115" t="str"/>
      <x:c r="R37" s="115" t="str"/>
      <x:c r="S37" s="114" t="str"/>
      <x:c r="T37" s="116" t="str"/>
      <x:c r="U37" s="114" t="str"/>
      <x:c r="V37" s="114" t="str">
        <x:v>未判定</x:v>
      </x:c>
      <x:c r="W37" s="117" t="str"/>
    </x:row>
    <x:row r="38" ht="30" customHeight="1">
      <x:c r="A38" s="87" t="str">
        <x:v>追加・本命</x:v>
      </x:c>
      <x:c r="B38" s="74" t="str">
        <x:v>AG05 受注増・入金ギャップ</x:v>
      </x:c>
      <x:c r="C38" s="74" t="str">
        <x:v>受注増・繁忙期・荷主入金待ち</x:v>
      </x:c>
      <x:c r="D38" s="74" t="str">
        <x:v>受注増 資金繰り 運送会社</x:v>
      </x:c>
      <x:c r="E38" s="74" t="str">
        <x:v>Exact</x:v>
      </x:c>
      <x:c r="F38" s="76" t="n">
        <x:v>50</x:v>
      </x:c>
      <x:c r="G38" s="74" t="str">
        <x:v>0〜10</x:v>
      </x:c>
      <x:c r="H38" s="74" t="str">
        <x:v>—</x:v>
      </x:c>
      <x:c r="I38" s="76" t="str">
        <x:v>—</x:v>
      </x:c>
      <x:c r="J38" s="76" t="str">
        <x:v>—</x:v>
      </x:c>
      <x:c r="K38" s="74" t="str">
        <x:v>高</x:v>
      </x:c>
      <x:c r="L38" s="74" t="str">
        <x:v>高</x:v>
      </x:c>
      <x:c r="M38" s="74" t="str">
        <x:v>高</x:v>
      </x:c>
      <x:c r="N38" s="114" t="str">
        <x:v>取込み候補</x:v>
      </x:c>
      <x:c r="O38" s="114" t="str"/>
      <x:c r="P38" s="114" t="str"/>
      <x:c r="Q38" s="115" t="str"/>
      <x:c r="R38" s="115" t="str"/>
      <x:c r="S38" s="114" t="str"/>
      <x:c r="T38" s="116" t="str"/>
      <x:c r="U38" s="114" t="str"/>
      <x:c r="V38" s="114" t="str">
        <x:v>未判定</x:v>
      </x:c>
      <x:c r="W38" s="117" t="str"/>
    </x:row>
    <x:row r="39" ht="30" customHeight="1">
      <x:c r="A39" s="87" t="str">
        <x:v>追加・本命</x:v>
      </x:c>
      <x:c r="B39" s="74" t="str">
        <x:v>AG06 車両導入・リース否決</x:v>
      </x:c>
      <x:c r="C39" s="74" t="str">
        <x:v>車両導入・審査否決・頭金不足</x:v>
      </x:c>
      <x:c r="D39" s="74" t="str">
        <x:v>法人 カーリース 審査 通らない</x:v>
      </x:c>
      <x:c r="E39" s="74" t="str">
        <x:v>Exact</x:v>
      </x:c>
      <x:c r="F39" s="76" t="n">
        <x:v>50</x:v>
      </x:c>
      <x:c r="G39" s="74" t="str">
        <x:v>10〜100</x:v>
      </x:c>
      <x:c r="H39" s="74" t="str">
        <x:v>中</x:v>
      </x:c>
      <x:c r="I39" s="76" t="n">
        <x:v>293</x:v>
      </x:c>
      <x:c r="J39" s="76" t="n">
        <x:v>949</x:v>
      </x:c>
      <x:c r="K39" s="74" t="str">
        <x:v>中</x:v>
      </x:c>
      <x:c r="L39" s="74" t="str">
        <x:v>高</x:v>
      </x:c>
      <x:c r="M39" s="74" t="str">
        <x:v>高</x:v>
      </x:c>
      <x:c r="N39" s="114" t="str">
        <x:v>取込み候補</x:v>
      </x:c>
      <x:c r="O39" s="114" t="str"/>
      <x:c r="P39" s="114" t="str"/>
      <x:c r="Q39" s="115" t="str"/>
      <x:c r="R39" s="115" t="str"/>
      <x:c r="S39" s="114" t="str"/>
      <x:c r="T39" s="116" t="str"/>
      <x:c r="U39" s="114" t="str"/>
      <x:c r="V39" s="114" t="str">
        <x:v>未判定</x:v>
      </x:c>
      <x:c r="W39" s="117" t="str"/>
    </x:row>
    <x:row r="40" ht="30" customHeight="1">
      <x:c r="A40" s="87" t="str">
        <x:v>追加・本命</x:v>
      </x:c>
      <x:c r="B40" s="74" t="str">
        <x:v>AG06 車両導入・リース否決</x:v>
      </x:c>
      <x:c r="C40" s="74" t="str">
        <x:v>車両導入・審査否決・頭金不足</x:v>
      </x:c>
      <x:c r="D40" s="74" t="str">
        <x:v>トラック ローン 審査 通らない</x:v>
      </x:c>
      <x:c r="E40" s="74" t="str">
        <x:v>Exact</x:v>
      </x:c>
      <x:c r="F40" s="76" t="n">
        <x:v>50</x:v>
      </x:c>
      <x:c r="G40" s="74" t="str">
        <x:v>0〜10</x:v>
      </x:c>
      <x:c r="H40" s="74" t="str">
        <x:v>—</x:v>
      </x:c>
      <x:c r="I40" s="76" t="str">
        <x:v>—</x:v>
      </x:c>
      <x:c r="J40" s="76" t="str">
        <x:v>—</x:v>
      </x:c>
      <x:c r="K40" s="74" t="str">
        <x:v>中</x:v>
      </x:c>
      <x:c r="L40" s="74" t="str">
        <x:v>高</x:v>
      </x:c>
      <x:c r="M40" s="74" t="str">
        <x:v>高</x:v>
      </x:c>
      <x:c r="N40" s="114" t="str">
        <x:v>取込み候補</x:v>
      </x:c>
      <x:c r="O40" s="114" t="str"/>
      <x:c r="P40" s="114" t="str"/>
      <x:c r="Q40" s="115" t="str"/>
      <x:c r="R40" s="115" t="str"/>
      <x:c r="S40" s="114" t="str"/>
      <x:c r="T40" s="116" t="str"/>
      <x:c r="U40" s="114" t="str"/>
      <x:c r="V40" s="114" t="str">
        <x:v>未判定</x:v>
      </x:c>
      <x:c r="W40" s="117" t="str"/>
    </x:row>
    <x:row r="41" ht="30" customHeight="1">
      <x:c r="A41" s="87" t="str">
        <x:v>追加・本命</x:v>
      </x:c>
      <x:c r="B41" s="74" t="str">
        <x:v>AG06 車両導入・リース否決</x:v>
      </x:c>
      <x:c r="C41" s="74" t="str">
        <x:v>車両導入・審査否決・頭金不足</x:v>
      </x:c>
      <x:c r="D41" s="74" t="str">
        <x:v>トラック リース 審査 通らない</x:v>
      </x:c>
      <x:c r="E41" s="74" t="str">
        <x:v>Exact</x:v>
      </x:c>
      <x:c r="F41" s="76" t="n">
        <x:v>50</x:v>
      </x:c>
      <x:c r="G41" s="74" t="str">
        <x:v>0〜10</x:v>
      </x:c>
      <x:c r="H41" s="74" t="str">
        <x:v>—</x:v>
      </x:c>
      <x:c r="I41" s="76" t="str">
        <x:v>—</x:v>
      </x:c>
      <x:c r="J41" s="76" t="str">
        <x:v>—</x:v>
      </x:c>
      <x:c r="K41" s="74" t="str">
        <x:v>中</x:v>
      </x:c>
      <x:c r="L41" s="74" t="str">
        <x:v>高</x:v>
      </x:c>
      <x:c r="M41" s="74" t="str">
        <x:v>高</x:v>
      </x:c>
      <x:c r="N41" s="114" t="str">
        <x:v>取込み候補</x:v>
      </x:c>
      <x:c r="O41" s="114" t="str"/>
      <x:c r="P41" s="114" t="str"/>
      <x:c r="Q41" s="115" t="str"/>
      <x:c r="R41" s="115" t="str"/>
      <x:c r="S41" s="114" t="str"/>
      <x:c r="T41" s="116" t="str"/>
      <x:c r="U41" s="114" t="str"/>
      <x:c r="V41" s="114" t="str">
        <x:v>未判定</x:v>
      </x:c>
      <x:c r="W41" s="117" t="str"/>
    </x:row>
    <x:row r="42" ht="30" customHeight="1">
      <x:c r="A42" s="87" t="str">
        <x:v>追加・本命</x:v>
      </x:c>
      <x:c r="B42" s="74" t="str">
        <x:v>AG06 車両導入・リース否決</x:v>
      </x:c>
      <x:c r="C42" s="74" t="str">
        <x:v>車両導入・審査否決・頭金不足</x:v>
      </x:c>
      <x:c r="D42" s="74" t="str">
        <x:v>法人 トラック リース 審査 落ち</x:v>
      </x:c>
      <x:c r="E42" s="74" t="str">
        <x:v>Exact</x:v>
      </x:c>
      <x:c r="F42" s="76" t="n">
        <x:v>50</x:v>
      </x:c>
      <x:c r="G42" s="74" t="str">
        <x:v>0〜10</x:v>
      </x:c>
      <x:c r="H42" s="74" t="str">
        <x:v>—</x:v>
      </x:c>
      <x:c r="I42" s="76" t="str">
        <x:v>—</x:v>
      </x:c>
      <x:c r="J42" s="76" t="str">
        <x:v>—</x:v>
      </x:c>
      <x:c r="K42" s="74" t="str">
        <x:v>中</x:v>
      </x:c>
      <x:c r="L42" s="74" t="str">
        <x:v>高</x:v>
      </x:c>
      <x:c r="M42" s="74" t="str">
        <x:v>高</x:v>
      </x:c>
      <x:c r="N42" s="114" t="str">
        <x:v>取込み候補</x:v>
      </x:c>
      <x:c r="O42" s="114" t="str"/>
      <x:c r="P42" s="114" t="str"/>
      <x:c r="Q42" s="115" t="str"/>
      <x:c r="R42" s="115" t="str"/>
      <x:c r="S42" s="114" t="str"/>
      <x:c r="T42" s="116" t="str"/>
      <x:c r="U42" s="114" t="str"/>
      <x:c r="V42" s="114" t="str">
        <x:v>未判定</x:v>
      </x:c>
      <x:c r="W42" s="117" t="str"/>
    </x:row>
    <x:row r="43" ht="30" customHeight="1">
      <x:c r="A43" s="87" t="str">
        <x:v>追加・本命</x:v>
      </x:c>
      <x:c r="B43" s="74" t="str">
        <x:v>AG06 車両導入・リース否決</x:v>
      </x:c>
      <x:c r="C43" s="74" t="str">
        <x:v>車両導入・審査否決・頭金不足</x:v>
      </x:c>
      <x:c r="D43" s="74" t="str">
        <x:v>トラック 頭金 足りない</x:v>
      </x:c>
      <x:c r="E43" s="74" t="str">
        <x:v>Exact</x:v>
      </x:c>
      <x:c r="F43" s="76" t="n">
        <x:v>50</x:v>
      </x:c>
      <x:c r="G43" s="74" t="str">
        <x:v>0〜10</x:v>
      </x:c>
      <x:c r="H43" s="74" t="str">
        <x:v>—</x:v>
      </x:c>
      <x:c r="I43" s="76" t="str">
        <x:v>—</x:v>
      </x:c>
      <x:c r="J43" s="76" t="str">
        <x:v>—</x:v>
      </x:c>
      <x:c r="K43" s="74" t="str">
        <x:v>中</x:v>
      </x:c>
      <x:c r="L43" s="74" t="str">
        <x:v>高</x:v>
      </x:c>
      <x:c r="M43" s="74" t="str">
        <x:v>高</x:v>
      </x:c>
      <x:c r="N43" s="114" t="str">
        <x:v>取込み候補</x:v>
      </x:c>
      <x:c r="O43" s="114" t="str"/>
      <x:c r="P43" s="114" t="str"/>
      <x:c r="Q43" s="115" t="str"/>
      <x:c r="R43" s="115" t="str"/>
      <x:c r="S43" s="114" t="str"/>
      <x:c r="T43" s="116" t="str"/>
      <x:c r="U43" s="114" t="str"/>
      <x:c r="V43" s="114" t="str">
        <x:v>未判定</x:v>
      </x:c>
      <x:c r="W43" s="117" t="str"/>
    </x:row>
    <x:row r="44" ht="30" customHeight="1">
      <x:c r="A44" s="87" t="str">
        <x:v>追加・本命</x:v>
      </x:c>
      <x:c r="B44" s="74" t="str">
        <x:v>AG06 車両導入・リース否決</x:v>
      </x:c>
      <x:c r="C44" s="74" t="str">
        <x:v>車両導入・審査否決・頭金不足</x:v>
      </x:c>
      <x:c r="D44" s="74" t="str">
        <x:v>トラック 購入 自己資金 足りない</x:v>
      </x:c>
      <x:c r="E44" s="74" t="str">
        <x:v>Exact</x:v>
      </x:c>
      <x:c r="F44" s="76" t="n">
        <x:v>50</x:v>
      </x:c>
      <x:c r="G44" s="74" t="str">
        <x:v>0〜10</x:v>
      </x:c>
      <x:c r="H44" s="74" t="str">
        <x:v>—</x:v>
      </x:c>
      <x:c r="I44" s="76" t="str">
        <x:v>—</x:v>
      </x:c>
      <x:c r="J44" s="76" t="str">
        <x:v>—</x:v>
      </x:c>
      <x:c r="K44" s="74" t="str">
        <x:v>中</x:v>
      </x:c>
      <x:c r="L44" s="74" t="str">
        <x:v>高</x:v>
      </x:c>
      <x:c r="M44" s="74" t="str">
        <x:v>高</x:v>
      </x:c>
      <x:c r="N44" s="114" t="str">
        <x:v>取込み候補</x:v>
      </x:c>
      <x:c r="O44" s="114" t="str"/>
      <x:c r="P44" s="114" t="str"/>
      <x:c r="Q44" s="115" t="str"/>
      <x:c r="R44" s="115" t="str"/>
      <x:c r="S44" s="114" t="str"/>
      <x:c r="T44" s="116" t="str"/>
      <x:c r="U44" s="114" t="str"/>
      <x:c r="V44" s="114" t="str">
        <x:v>未判定</x:v>
      </x:c>
      <x:c r="W44" s="117" t="str"/>
    </x:row>
    <x:row r="45" ht="30" customHeight="1">
      <x:c r="A45" s="87" t="str">
        <x:v>追加・本命</x:v>
      </x:c>
      <x:c r="B45" s="74" t="str">
        <x:v>AG06 車両導入・リース否決</x:v>
      </x:c>
      <x:c r="C45" s="74" t="str">
        <x:v>車両導入・審査否決・頭金不足</x:v>
      </x:c>
      <x:c r="D45" s="74" t="str">
        <x:v>トラック 増車</x:v>
      </x:c>
      <x:c r="E45" s="74" t="str">
        <x:v>Exact</x:v>
      </x:c>
      <x:c r="F45" s="76" t="n">
        <x:v>50</x:v>
      </x:c>
      <x:c r="G45" s="74" t="str">
        <x:v>10〜100</x:v>
      </x:c>
      <x:c r="H45" s="74" t="str">
        <x:v>低</x:v>
      </x:c>
      <x:c r="I45" s="76" t="str">
        <x:v>—</x:v>
      </x:c>
      <x:c r="J45" s="76" t="str">
        <x:v>—</x:v>
      </x:c>
      <x:c r="K45" s="74" t="str">
        <x:v>中</x:v>
      </x:c>
      <x:c r="L45" s="74" t="str">
        <x:v>高</x:v>
      </x:c>
      <x:c r="M45" s="74" t="str">
        <x:v>高</x:v>
      </x:c>
      <x:c r="N45" s="114" t="str">
        <x:v>取込み候補</x:v>
      </x:c>
      <x:c r="O45" s="114" t="str"/>
      <x:c r="P45" s="114" t="str"/>
      <x:c r="Q45" s="115" t="str"/>
      <x:c r="R45" s="115" t="str"/>
      <x:c r="S45" s="114" t="str"/>
      <x:c r="T45" s="116" t="str"/>
      <x:c r="U45" s="114" t="str"/>
      <x:c r="V45" s="114" t="str">
        <x:v>未判定</x:v>
      </x:c>
      <x:c r="W45" s="117" t="str"/>
    </x:row>
    <x:row r="46" ht="30" customHeight="1">
      <x:c r="A46" s="87" t="str">
        <x:v>追加・本命</x:v>
      </x:c>
      <x:c r="B46" s="74" t="str">
        <x:v>AG06 車両導入・リース否決</x:v>
      </x:c>
      <x:c r="C46" s="74" t="str">
        <x:v>車両導入・審査否決・頭金不足</x:v>
      </x:c>
      <x:c r="D46" s="74" t="str">
        <x:v>トラック 増車 ローン</x:v>
      </x:c>
      <x:c r="E46" s="74" t="str">
        <x:v>Exact</x:v>
      </x:c>
      <x:c r="F46" s="76" t="n">
        <x:v>50</x:v>
      </x:c>
      <x:c r="G46" s="74" t="str">
        <x:v>0〜10</x:v>
      </x:c>
      <x:c r="H46" s="74" t="str">
        <x:v>—</x:v>
      </x:c>
      <x:c r="I46" s="76" t="str">
        <x:v>—</x:v>
      </x:c>
      <x:c r="J46" s="76" t="str">
        <x:v>—</x:v>
      </x:c>
      <x:c r="K46" s="74" t="str">
        <x:v>中</x:v>
      </x:c>
      <x:c r="L46" s="74" t="str">
        <x:v>高</x:v>
      </x:c>
      <x:c r="M46" s="74" t="str">
        <x:v>高</x:v>
      </x:c>
      <x:c r="N46" s="114" t="str">
        <x:v>取込み候補</x:v>
      </x:c>
      <x:c r="O46" s="114" t="str"/>
      <x:c r="P46" s="114" t="str"/>
      <x:c r="Q46" s="115" t="str"/>
      <x:c r="R46" s="115" t="str"/>
      <x:c r="S46" s="114" t="str"/>
      <x:c r="T46" s="116" t="str"/>
      <x:c r="U46" s="114" t="str"/>
      <x:c r="V46" s="114" t="str">
        <x:v>未判定</x:v>
      </x:c>
      <x:c r="W46" s="117" t="str"/>
    </x:row>
    <x:row r="47" ht="30" customHeight="1">
      <x:c r="A47" s="87" t="str">
        <x:v>追加・本命</x:v>
      </x:c>
      <x:c r="B47" s="74" t="str">
        <x:v>AG06 車両導入・リース否決</x:v>
      </x:c>
      <x:c r="C47" s="74" t="str">
        <x:v>車両導入・審査否決・頭金不足</x:v>
      </x:c>
      <x:c r="D47" s="74" t="str">
        <x:v>運送会社 車両増車 資金</x:v>
      </x:c>
      <x:c r="E47" s="74" t="str">
        <x:v>Exact</x:v>
      </x:c>
      <x:c r="F47" s="76" t="n">
        <x:v>50</x:v>
      </x:c>
      <x:c r="G47" s="74" t="str">
        <x:v>0〜10</x:v>
      </x:c>
      <x:c r="H47" s="74" t="str">
        <x:v>—</x:v>
      </x:c>
      <x:c r="I47" s="76" t="str">
        <x:v>—</x:v>
      </x:c>
      <x:c r="J47" s="76" t="str">
        <x:v>—</x:v>
      </x:c>
      <x:c r="K47" s="74" t="str">
        <x:v>中</x:v>
      </x:c>
      <x:c r="L47" s="74" t="str">
        <x:v>高</x:v>
      </x:c>
      <x:c r="M47" s="74" t="str">
        <x:v>高</x:v>
      </x:c>
      <x:c r="N47" s="114" t="str">
        <x:v>取込み候補</x:v>
      </x:c>
      <x:c r="O47" s="114" t="str"/>
      <x:c r="P47" s="114" t="str"/>
      <x:c r="Q47" s="115" t="str"/>
      <x:c r="R47" s="115" t="str"/>
      <x:c r="S47" s="114" t="str"/>
      <x:c r="T47" s="116" t="str"/>
      <x:c r="U47" s="114" t="str"/>
      <x:c r="V47" s="114" t="str">
        <x:v>未判定</x:v>
      </x:c>
      <x:c r="W47" s="117" t="str"/>
    </x:row>
    <x:row r="48" ht="30" customHeight="1">
      <x:c r="A48" s="87" t="str">
        <x:v>追加・検証</x:v>
      </x:c>
      <x:c r="B48" s="74" t="str">
        <x:v>AG07 事故・稼働復旧</x:v>
      </x:c>
      <x:c r="C48" s="74" t="str">
        <x:v>事故・保険金待ち・稼働復旧</x:v>
      </x:c>
      <x:c r="D48" s="74" t="str">
        <x:v>トラック 事故 修理費 資金</x:v>
      </x:c>
      <x:c r="E48" s="74" t="str">
        <x:v>Exact</x:v>
      </x:c>
      <x:c r="F48" s="76" t="n">
        <x:v>50</x:v>
      </x:c>
      <x:c r="G48" s="74" t="str">
        <x:v>0〜10</x:v>
      </x:c>
      <x:c r="H48" s="74" t="str">
        <x:v>—</x:v>
      </x:c>
      <x:c r="I48" s="76" t="str">
        <x:v>—</x:v>
      </x:c>
      <x:c r="J48" s="76" t="str">
        <x:v>—</x:v>
      </x:c>
      <x:c r="K48" s="74" t="str">
        <x:v>中</x:v>
      </x:c>
      <x:c r="L48" s="74" t="str">
        <x:v>中</x:v>
      </x:c>
      <x:c r="M48" s="74" t="str">
        <x:v>中</x:v>
      </x:c>
      <x:c r="N48" s="114" t="str">
        <x:v>取込み候補</x:v>
      </x:c>
      <x:c r="O48" s="114" t="str"/>
      <x:c r="P48" s="114" t="str"/>
      <x:c r="Q48" s="115" t="str"/>
      <x:c r="R48" s="115" t="str"/>
      <x:c r="S48" s="114" t="str"/>
      <x:c r="T48" s="116" t="str"/>
      <x:c r="U48" s="114" t="str"/>
      <x:c r="V48" s="114" t="str">
        <x:v>未判定</x:v>
      </x:c>
      <x:c r="W48" s="117" t="str"/>
    </x:row>
    <x:row r="49" ht="30" customHeight="1">
      <x:c r="A49" s="87" t="str">
        <x:v>追加・検証</x:v>
      </x:c>
      <x:c r="B49" s="74" t="str">
        <x:v>AG07 事故・稼働復旧</x:v>
      </x:c>
      <x:c r="C49" s="74" t="str">
        <x:v>事故・保険金待ち・稼働復旧</x:v>
      </x:c>
      <x:c r="D49" s="74" t="str">
        <x:v>保険金 入るまで 修理代</x:v>
      </x:c>
      <x:c r="E49" s="74" t="str">
        <x:v>Exact</x:v>
      </x:c>
      <x:c r="F49" s="76" t="n">
        <x:v>50</x:v>
      </x:c>
      <x:c r="G49" s="74" t="str">
        <x:v>0〜10</x:v>
      </x:c>
      <x:c r="H49" s="74" t="str">
        <x:v>—</x:v>
      </x:c>
      <x:c r="I49" s="76" t="str">
        <x:v>—</x:v>
      </x:c>
      <x:c r="J49" s="76" t="str">
        <x:v>—</x:v>
      </x:c>
      <x:c r="K49" s="74" t="str">
        <x:v>中</x:v>
      </x:c>
      <x:c r="L49" s="74" t="str">
        <x:v>中</x:v>
      </x:c>
      <x:c r="M49" s="74" t="str">
        <x:v>中</x:v>
      </x:c>
      <x:c r="N49" s="114" t="str">
        <x:v>取込み候補</x:v>
      </x:c>
      <x:c r="O49" s="114" t="str"/>
      <x:c r="P49" s="114" t="str"/>
      <x:c r="Q49" s="115" t="str"/>
      <x:c r="R49" s="115" t="str"/>
      <x:c r="S49" s="114" t="str"/>
      <x:c r="T49" s="116" t="str"/>
      <x:c r="U49" s="114" t="str"/>
      <x:c r="V49" s="114" t="str">
        <x:v>未判定</x:v>
      </x:c>
      <x:c r="W49" s="117" t="str"/>
    </x:row>
    <x:row r="50" ht="30" customHeight="1">
      <x:c r="A50" s="87" t="str">
        <x:v>追加・検証</x:v>
      </x:c>
      <x:c r="B50" s="74" t="str">
        <x:v>AG07 事故・稼働復旧</x:v>
      </x:c>
      <x:c r="C50" s="74" t="str">
        <x:v>事故・保険金待ち・稼働復旧</x:v>
      </x:c>
      <x:c r="D50" s="74" t="str">
        <x:v>事故車 買い替え 資金</x:v>
      </x:c>
      <x:c r="E50" s="74" t="str">
        <x:v>Exact</x:v>
      </x:c>
      <x:c r="F50" s="76" t="n">
        <x:v>50</x:v>
      </x:c>
      <x:c r="G50" s="74" t="str">
        <x:v>0〜10</x:v>
      </x:c>
      <x:c r="H50" s="74" t="str">
        <x:v>—</x:v>
      </x:c>
      <x:c r="I50" s="76" t="str">
        <x:v>—</x:v>
      </x:c>
      <x:c r="J50" s="76" t="str">
        <x:v>—</x:v>
      </x:c>
      <x:c r="K50" s="74" t="str">
        <x:v>中</x:v>
      </x:c>
      <x:c r="L50" s="74" t="str">
        <x:v>中</x:v>
      </x:c>
      <x:c r="M50" s="74" t="str">
        <x:v>中</x:v>
      </x:c>
      <x:c r="N50" s="114" t="str">
        <x:v>取込み候補</x:v>
      </x:c>
      <x:c r="O50" s="114" t="str"/>
      <x:c r="P50" s="114" t="str"/>
      <x:c r="Q50" s="115" t="str"/>
      <x:c r="R50" s="115" t="str"/>
      <x:c r="S50" s="114" t="str"/>
      <x:c r="T50" s="116" t="str"/>
      <x:c r="U50" s="114" t="str"/>
      <x:c r="V50" s="114" t="str">
        <x:v>未判定</x:v>
      </x:c>
      <x:c r="W50" s="117" t="str"/>
    </x:row>
    <x:row r="51" ht="30" customHeight="1">
      <x:c r="A51" s="87" t="str">
        <x:v>追加・検証</x:v>
      </x:c>
      <x:c r="B51" s="74" t="str">
        <x:v>AG07 事故・稼働復旧</x:v>
      </x:c>
      <x:c r="C51" s="74" t="str">
        <x:v>事故・保険金待ち・稼働復旧</x:v>
      </x:c>
      <x:c r="D51" s="74" t="str">
        <x:v>運送会社 事故 賠償 支払い</x:v>
      </x:c>
      <x:c r="E51" s="74" t="str">
        <x:v>Exact</x:v>
      </x:c>
      <x:c r="F51" s="76" t="n">
        <x:v>50</x:v>
      </x:c>
      <x:c r="G51" s="74" t="str">
        <x:v>0〜10</x:v>
      </x:c>
      <x:c r="H51" s="74" t="str">
        <x:v>—</x:v>
      </x:c>
      <x:c r="I51" s="76" t="str">
        <x:v>—</x:v>
      </x:c>
      <x:c r="J51" s="76" t="str">
        <x:v>—</x:v>
      </x:c>
      <x:c r="K51" s="74" t="str">
        <x:v>中</x:v>
      </x:c>
      <x:c r="L51" s="74" t="str">
        <x:v>中</x:v>
      </x:c>
      <x:c r="M51" s="74" t="str">
        <x:v>中</x:v>
      </x:c>
      <x:c r="N51" s="114" t="str">
        <x:v>取込み候補</x:v>
      </x:c>
      <x:c r="O51" s="114" t="str"/>
      <x:c r="P51" s="114" t="str"/>
      <x:c r="Q51" s="115" t="str"/>
      <x:c r="R51" s="115" t="str"/>
      <x:c r="S51" s="114" t="str"/>
      <x:c r="T51" s="116" t="str"/>
      <x:c r="U51" s="114" t="str"/>
      <x:c r="V51" s="114" t="str">
        <x:v>未判定</x:v>
      </x:c>
      <x:c r="W51" s="117" t="str"/>
    </x:row>
    <x:row r="52" ht="30" customHeight="1">
      <x:c r="A52" s="87" t="str">
        <x:v>追加・検証</x:v>
      </x:c>
      <x:c r="B52" s="74" t="str">
        <x:v>AG07 事故・稼働復旧</x:v>
      </x:c>
      <x:c r="C52" s="74" t="str">
        <x:v>事故・保険金待ち・稼働復旧</x:v>
      </x:c>
      <x:c r="D52" s="74" t="str">
        <x:v>貨物事故 弁償 運送会社</x:v>
      </x:c>
      <x:c r="E52" s="74" t="str">
        <x:v>Exact</x:v>
      </x:c>
      <x:c r="F52" s="76" t="n">
        <x:v>50</x:v>
      </x:c>
      <x:c r="G52" s="74" t="str">
        <x:v>0〜10</x:v>
      </x:c>
      <x:c r="H52" s="74" t="str">
        <x:v>—</x:v>
      </x:c>
      <x:c r="I52" s="76" t="str">
        <x:v>—</x:v>
      </x:c>
      <x:c r="J52" s="76" t="str">
        <x:v>—</x:v>
      </x:c>
      <x:c r="K52" s="74" t="str">
        <x:v>中</x:v>
      </x:c>
      <x:c r="L52" s="74" t="str">
        <x:v>中</x:v>
      </x:c>
      <x:c r="M52" s="74" t="str">
        <x:v>中</x:v>
      </x:c>
      <x:c r="N52" s="114" t="str">
        <x:v>取込み候補</x:v>
      </x:c>
      <x:c r="O52" s="114" t="str"/>
      <x:c r="P52" s="114" t="str"/>
      <x:c r="Q52" s="115" t="str"/>
      <x:c r="R52" s="115" t="str"/>
      <x:c r="S52" s="114" t="str"/>
      <x:c r="T52" s="116" t="str"/>
      <x:c r="U52" s="114" t="str"/>
      <x:c r="V52" s="114" t="str">
        <x:v>未判定</x:v>
      </x:c>
      <x:c r="W52" s="117" t="str"/>
    </x:row>
    <x:row r="53" ht="30" customHeight="1">
      <x:c r="A53" s="87" t="str">
        <x:v>追加・検証</x:v>
      </x:c>
      <x:c r="B53" s="74" t="str">
        <x:v>AG07 事故・稼働復旧</x:v>
      </x:c>
      <x:c r="C53" s="74" t="str">
        <x:v>事故・保険金待ち・稼働復旧</x:v>
      </x:c>
      <x:c r="D53" s="74" t="str">
        <x:v>トラック エンジン 修理代 払えない</x:v>
      </x:c>
      <x:c r="E53" s="74" t="str">
        <x:v>Exact</x:v>
      </x:c>
      <x:c r="F53" s="76" t="n">
        <x:v>50</x:v>
      </x:c>
      <x:c r="G53" s="74" t="str">
        <x:v>0〜10</x:v>
      </x:c>
      <x:c r="H53" s="74" t="str">
        <x:v>—</x:v>
      </x:c>
      <x:c r="I53" s="76" t="str">
        <x:v>—</x:v>
      </x:c>
      <x:c r="J53" s="76" t="str">
        <x:v>—</x:v>
      </x:c>
      <x:c r="K53" s="74" t="str">
        <x:v>中</x:v>
      </x:c>
      <x:c r="L53" s="74" t="str">
        <x:v>中</x:v>
      </x:c>
      <x:c r="M53" s="74" t="str">
        <x:v>中</x:v>
      </x:c>
      <x:c r="N53" s="114" t="str">
        <x:v>取込み候補</x:v>
      </x:c>
      <x:c r="O53" s="114" t="str"/>
      <x:c r="P53" s="114" t="str"/>
      <x:c r="Q53" s="115" t="str"/>
      <x:c r="R53" s="115" t="str"/>
      <x:c r="S53" s="114" t="str"/>
      <x:c r="T53" s="116" t="str"/>
      <x:c r="U53" s="114" t="str"/>
      <x:c r="V53" s="114" t="str">
        <x:v>未判定</x:v>
      </x:c>
      <x:c r="W53" s="117" t="str"/>
    </x:row>
    <x:row r="54" ht="30" customHeight="1">
      <x:c r="A54" s="89" t="str">
        <x:v>追加・検証</x:v>
      </x:c>
      <x:c r="B54" s="90" t="str">
        <x:v>AG07 事故・稼働復旧</x:v>
      </x:c>
      <x:c r="C54" s="90" t="str">
        <x:v>事故・保険金待ち・稼働復旧</x:v>
      </x:c>
      <x:c r="D54" s="90" t="str">
        <x:v>トラック ミッション 修理代</x:v>
      </x:c>
      <x:c r="E54" s="90" t="str">
        <x:v>Exact</x:v>
      </x:c>
      <x:c r="F54" s="91" t="n">
        <x:v>50</x:v>
      </x:c>
      <x:c r="G54" s="90" t="str">
        <x:v>0〜10</x:v>
      </x:c>
      <x:c r="H54" s="90" t="str">
        <x:v>—</x:v>
      </x:c>
      <x:c r="I54" s="91" t="str">
        <x:v>—</x:v>
      </x:c>
      <x:c r="J54" s="91" t="str">
        <x:v>—</x:v>
      </x:c>
      <x:c r="K54" s="90" t="str">
        <x:v>中</x:v>
      </x:c>
      <x:c r="L54" s="90" t="str">
        <x:v>中</x:v>
      </x:c>
      <x:c r="M54" s="90" t="str">
        <x:v>中</x:v>
      </x:c>
      <x:c r="N54" s="118" t="str">
        <x:v>取込み候補</x:v>
      </x:c>
      <x:c r="O54" s="118" t="str"/>
      <x:c r="P54" s="118" t="str"/>
      <x:c r="Q54" s="119" t="str"/>
      <x:c r="R54" s="119" t="str"/>
      <x:c r="S54" s="118" t="str"/>
      <x:c r="T54" s="120" t="str"/>
      <x:c r="U54" s="118" t="str"/>
      <x:c r="V54" s="118" t="str">
        <x:v>未判定</x:v>
      </x:c>
      <x:c r="W54" s="121" t="str"/>
    </x:row>
  </x:sheetData>
  <x:mergeCells>
    <x:mergeCell ref="A1:W1"/>
    <x:mergeCell ref="A2:W2"/>
  </x:mergeCells>
  <x:conditionalFormatting sqref="A6:A54">
    <x:cfRule type="containsText" dxfId="0" priority="1" operator="containsText" text="追加"/>
  </x:conditionalFormatting>
  <x:conditionalFormatting sqref="V6:V54">
    <x:cfRule type="containsText" dxfId="1" priority="2" operator="containsText" text="停止"/>
    <x:cfRule type="containsText" dxfId="2" priority="3" operator="containsText" text="継続"/>
  </x:conditionalFormatting>
  <x:dataValidations count="2">
    <x:dataValidation type="list" sqref="N6:N54">
      <x:formula1>"取込み候補,配信中,停止,除外"</x:formula1>
    </x:dataValidation>
    <x:dataValidation type="list" sqref="V6:V54">
      <x:formula1>"未判定,継続,入札調整,完全一致へ追加,除外追加,停止,LP確認"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f622a151014c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23" hidden="0" customWidth="1"/>
    <x:col min="4" max="4" width="30" hidden="0" customWidth="1"/>
    <x:col min="5" max="5" width="9" hidden="0" customWidth="1"/>
    <x:col min="6" max="6" width="9" hidden="0" customWidth="1"/>
    <x:col min="7" max="7" width="11" hidden="0" customWidth="1"/>
    <x:col min="8" max="8" width="11" hidden="0" customWidth="1"/>
    <x:col min="9" max="9" width="14" hidden="0" customWidth="1"/>
    <x:col min="10" max="10" width="10" hidden="0" customWidth="1"/>
    <x:col min="11" max="11" width="14" hidden="0" customWidth="1"/>
    <x:col min="12" max="12" width="10" hidden="0" customWidth="1"/>
    <x:col min="13" max="13" width="30" hidden="0" customWidth="1"/>
    <x:col min="14" max="14" width="17" hidden="0" customWidth="1"/>
  </x:cols>
  <x:sheetData>
    <x:row r="1" ht="30" customHeight="1">
      <x:c r="A1" s="68" t="str">
        <x:v>日次実績｜貼付け・入力用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</x:row>
    <x:row r="2" ht="22" customHeight="1">
      <x:c r="A2" s="70" t="str">
        <x:v>Google広告の実績を日別・KW別で入力。CPCとMCVRは自動計算。最終CVはA8確定後に入力する。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  <x:c r="M2" s="69"/>
      <x:c r="N2" s="69"/>
    </x:row>
    <x:row r="3">
      <x:c r="A3" s="69"/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  <x:c r="M3" s="69"/>
      <x:c r="N3" s="69"/>
    </x:row>
    <x:row r="4">
      <x:c r="A4" s="125" t="str">
        <x:v>入力欄（黄色セルに日々の実績を入力）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</x:row>
    <x:row r="5">
      <x:c r="A5" s="69"/>
      <x:c r="B5" s="69"/>
      <x:c r="C5" s="69"/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</x:row>
    <x:row r="6" ht="30" customHeight="1">
      <x:c r="A6" s="75" t="str">
        <x:v>日付</x:v>
      </x:c>
      <x:c r="B6" s="75" t="str">
        <x:v>キャンペーン</x:v>
      </x:c>
      <x:c r="C6" s="75" t="str">
        <x:v>広告グループ</x:v>
      </x:c>
      <x:c r="D6" s="75" t="str">
        <x:v>キーワード</x:v>
      </x:c>
      <x:c r="E6" s="75" t="str">
        <x:v>表示</x:v>
      </x:c>
      <x:c r="F6" s="75" t="str">
        <x:v>クリック</x:v>
      </x:c>
      <x:c r="G6" s="75" t="str">
        <x:v>広告費</x:v>
      </x:c>
      <x:c r="H6" s="75" t="str">
        <x:v>実CPC</x:v>
      </x:c>
      <x:c r="I6" s="75" t="str">
        <x:v>公式遷移（MCV）</x:v>
      </x:c>
      <x:c r="J6" s="75" t="str">
        <x:v>MCVR</x:v>
      </x:c>
      <x:c r="K6" s="75" t="str">
        <x:v>申込・問合せ</x:v>
      </x:c>
      <x:c r="L6" s="75" t="str">
        <x:v>最終CV</x:v>
      </x:c>
      <x:c r="M6" s="75" t="str">
        <x:v>検索語句メモ</x:v>
      </x:c>
      <x:c r="N6" s="75" t="str">
        <x:v>日次判断</x:v>
      </x:c>
    </x:row>
    <x:row r="7" ht="24" customHeight="1">
      <x:c r="A7" s="126" t="str"/>
      <x:c r="B7" s="84" t="str">
        <x:v>共通探索CP</x:v>
      </x:c>
      <x:c r="C7" s="84" t="str">
        <x:v>AG01 融資・事業資金</x:v>
      </x:c>
      <x:c r="D7" s="84" t="str">
        <x:v>運送会社 融資</x:v>
      </x:c>
      <x:c r="E7" s="110" t="str"/>
      <x:c r="F7" s="110" t="str"/>
      <x:c r="G7" s="111" t="str"/>
      <x:c r="H7" s="85" t="str">
        <x:f>IF(OR(F7="",G7=""),"",G7/F7)</x:f>
      </x:c>
      <x:c r="I7" s="110" t="str"/>
      <x:c r="J7" s="127" t="str">
        <x:f>IF(OR(F7="",I7=""),"",I7/F7)</x:f>
      </x:c>
      <x:c r="K7" s="110" t="str"/>
      <x:c r="L7" s="110" t="str"/>
      <x:c r="M7" s="110" t="str"/>
      <x:c r="N7" s="113" t="str">
        <x:v>未判定</x:v>
      </x:c>
    </x:row>
    <x:row r="8" ht="24" customHeight="1">
      <x:c r="A8" s="128" t="str"/>
      <x:c r="B8" s="74" t="str">
        <x:v>共通探索CP</x:v>
      </x:c>
      <x:c r="C8" s="74" t="str">
        <x:v>AG01 融資・事業資金</x:v>
      </x:c>
      <x:c r="D8" s="74" t="str">
        <x:v>運送業 ビジネスローン</x:v>
      </x:c>
      <x:c r="E8" s="114" t="str"/>
      <x:c r="F8" s="114" t="str"/>
      <x:c r="G8" s="115" t="str"/>
      <x:c r="H8" s="76" t="str">
        <x:f>IF(OR(F8="",G8=""),"",G8/F8)</x:f>
      </x:c>
      <x:c r="I8" s="114" t="str"/>
      <x:c r="J8" s="129" t="str">
        <x:f>IF(OR(F8="",I8=""),"",I8/F8)</x:f>
      </x:c>
      <x:c r="K8" s="114" t="str"/>
      <x:c r="L8" s="114" t="str"/>
      <x:c r="M8" s="114" t="str"/>
      <x:c r="N8" s="117" t="str">
        <x:v>未判定</x:v>
      </x:c>
    </x:row>
    <x:row r="9" ht="24" customHeight="1">
      <x:c r="A9" s="128" t="str"/>
      <x:c r="B9" s="74" t="str">
        <x:v>共通探索CP</x:v>
      </x:c>
      <x:c r="C9" s="74" t="str">
        <x:v>AG01 融資・事業資金</x:v>
      </x:c>
      <x:c r="D9" s="74" t="str">
        <x:v>運送業 事業資金</x:v>
      </x:c>
      <x:c r="E9" s="114" t="str"/>
      <x:c r="F9" s="114" t="str"/>
      <x:c r="G9" s="115" t="str"/>
      <x:c r="H9" s="76" t="str">
        <x:f>IF(OR(F9="",G9=""),"",G9/F9)</x:f>
      </x:c>
      <x:c r="I9" s="114" t="str"/>
      <x:c r="J9" s="129" t="str">
        <x:f>IF(OR(F9="",I9=""),"",I9/F9)</x:f>
      </x:c>
      <x:c r="K9" s="114" t="str"/>
      <x:c r="L9" s="114" t="str"/>
      <x:c r="M9" s="114" t="str"/>
      <x:c r="N9" s="117" t="str">
        <x:v>未判定</x:v>
      </x:c>
    </x:row>
    <x:row r="10" ht="24" customHeight="1">
      <x:c r="A10" s="128" t="str"/>
      <x:c r="B10" s="74" t="str">
        <x:v>共通探索CP</x:v>
      </x:c>
      <x:c r="C10" s="74" t="str">
        <x:v>AG01 融資・事業資金</x:v>
      </x:c>
      <x:c r="D10" s="74" t="str">
        <x:v>運送業 資金調達</x:v>
      </x:c>
      <x:c r="E10" s="114" t="str"/>
      <x:c r="F10" s="114" t="str"/>
      <x:c r="G10" s="115" t="str"/>
      <x:c r="H10" s="76" t="str">
        <x:f>IF(OR(F10="",G10=""),"",G10/F10)</x:f>
      </x:c>
      <x:c r="I10" s="114" t="str"/>
      <x:c r="J10" s="129" t="str">
        <x:f>IF(OR(F10="",I10=""),"",I10/F10)</x:f>
      </x:c>
      <x:c r="K10" s="114" t="str"/>
      <x:c r="L10" s="114" t="str"/>
      <x:c r="M10" s="114" t="str"/>
      <x:c r="N10" s="117" t="str">
        <x:v>未判定</x:v>
      </x:c>
    </x:row>
    <x:row r="11" ht="24" customHeight="1">
      <x:c r="A11" s="128" t="str"/>
      <x:c r="B11" s="74" t="str">
        <x:v>共通探索CP</x:v>
      </x:c>
      <x:c r="C11" s="74" t="str">
        <x:v>AG01 融資・事業資金</x:v>
      </x:c>
      <x:c r="D11" s="74" t="str">
        <x:v>運送業 運転資金</x:v>
      </x:c>
      <x:c r="E11" s="114" t="str"/>
      <x:c r="F11" s="114" t="str"/>
      <x:c r="G11" s="115" t="str"/>
      <x:c r="H11" s="76" t="str">
        <x:f>IF(OR(F11="",G11=""),"",G11/F11)</x:f>
      </x:c>
      <x:c r="I11" s="114" t="str"/>
      <x:c r="J11" s="129" t="str">
        <x:f>IF(OR(F11="",I11=""),"",I11/F11)</x:f>
      </x:c>
      <x:c r="K11" s="114" t="str"/>
      <x:c r="L11" s="114" t="str"/>
      <x:c r="M11" s="114" t="str"/>
      <x:c r="N11" s="117" t="str">
        <x:v>未判定</x:v>
      </x:c>
    </x:row>
    <x:row r="12" ht="24" customHeight="1">
      <x:c r="A12" s="128" t="str"/>
      <x:c r="B12" s="74" t="str">
        <x:v>共通探索CP</x:v>
      </x:c>
      <x:c r="C12" s="74" t="str">
        <x:v>AG01 融資・事業資金</x:v>
      </x:c>
      <x:c r="D12" s="74" t="str">
        <x:v>運送業 資金繰り</x:v>
      </x:c>
      <x:c r="E12" s="114" t="str"/>
      <x:c r="F12" s="114" t="str"/>
      <x:c r="G12" s="115" t="str"/>
      <x:c r="H12" s="76" t="str">
        <x:f>IF(OR(F12="",G12=""),"",G12/F12)</x:f>
      </x:c>
      <x:c r="I12" s="114" t="str"/>
      <x:c r="J12" s="129" t="str">
        <x:f>IF(OR(F12="",I12=""),"",I12/F12)</x:f>
      </x:c>
      <x:c r="K12" s="114" t="str"/>
      <x:c r="L12" s="114" t="str"/>
      <x:c r="M12" s="114" t="str"/>
      <x:c r="N12" s="117" t="str">
        <x:v>未判定</x:v>
      </x:c>
    </x:row>
    <x:row r="13" ht="24" customHeight="1">
      <x:c r="A13" s="128" t="str"/>
      <x:c r="B13" s="74" t="str">
        <x:v>共通探索CP</x:v>
      </x:c>
      <x:c r="C13" s="74" t="str">
        <x:v>AG02 資金不足・支払い</x:v>
      </x:c>
      <x:c r="D13" s="74" t="str">
        <x:v>運送会社 資金不足</x:v>
      </x:c>
      <x:c r="E13" s="114" t="str"/>
      <x:c r="F13" s="114" t="str"/>
      <x:c r="G13" s="115" t="str"/>
      <x:c r="H13" s="76" t="str">
        <x:f>IF(OR(F13="",G13=""),"",G13/F13)</x:f>
      </x:c>
      <x:c r="I13" s="114" t="str"/>
      <x:c r="J13" s="129" t="str">
        <x:f>IF(OR(F13="",I13=""),"",I13/F13)</x:f>
      </x:c>
      <x:c r="K13" s="114" t="str"/>
      <x:c r="L13" s="114" t="str"/>
      <x:c r="M13" s="114" t="str"/>
      <x:c r="N13" s="117" t="str">
        <x:v>未判定</x:v>
      </x:c>
    </x:row>
    <x:row r="14" ht="24" customHeight="1">
      <x:c r="A14" s="128" t="str"/>
      <x:c r="B14" s="74" t="str">
        <x:v>共通探索CP</x:v>
      </x:c>
      <x:c r="C14" s="74" t="str">
        <x:v>AG02 資金不足・支払い</x:v>
      </x:c>
      <x:c r="D14" s="74" t="str">
        <x:v>運送会社 資金ショート</x:v>
      </x:c>
      <x:c r="E14" s="114" t="str"/>
      <x:c r="F14" s="114" t="str"/>
      <x:c r="G14" s="115" t="str"/>
      <x:c r="H14" s="76" t="str">
        <x:f>IF(OR(F14="",G14=""),"",G14/F14)</x:f>
      </x:c>
      <x:c r="I14" s="114" t="str"/>
      <x:c r="J14" s="129" t="str">
        <x:f>IF(OR(F14="",I14=""),"",I14/F14)</x:f>
      </x:c>
      <x:c r="K14" s="114" t="str"/>
      <x:c r="L14" s="114" t="str"/>
      <x:c r="M14" s="114" t="str"/>
      <x:c r="N14" s="117" t="str">
        <x:v>未判定</x:v>
      </x:c>
    </x:row>
    <x:row r="15" ht="24" customHeight="1">
      <x:c r="A15" s="128" t="str"/>
      <x:c r="B15" s="74" t="str">
        <x:v>共通探索CP</x:v>
      </x:c>
      <x:c r="C15" s="74" t="str">
        <x:v>AG02 資金不足・支払い</x:v>
      </x:c>
      <x:c r="D15" s="74" t="str">
        <x:v>運送業 支払い 間に合わない</x:v>
      </x:c>
      <x:c r="E15" s="114" t="str"/>
      <x:c r="F15" s="114" t="str"/>
      <x:c r="G15" s="115" t="str"/>
      <x:c r="H15" s="76" t="str">
        <x:f>IF(OR(F15="",G15=""),"",G15/F15)</x:f>
      </x:c>
      <x:c r="I15" s="114" t="str"/>
      <x:c r="J15" s="129" t="str">
        <x:f>IF(OR(F15="",I15=""),"",I15/F15)</x:f>
      </x:c>
      <x:c r="K15" s="114" t="str"/>
      <x:c r="L15" s="114" t="str"/>
      <x:c r="M15" s="114" t="str"/>
      <x:c r="N15" s="117" t="str">
        <x:v>未判定</x:v>
      </x:c>
    </x:row>
    <x:row r="16" ht="24" customHeight="1">
      <x:c r="A16" s="128" t="str"/>
      <x:c r="B16" s="74" t="str">
        <x:v>共通探索CP</x:v>
      </x:c>
      <x:c r="C16" s="74" t="str">
        <x:v>AG02 資金不足・支払い</x:v>
      </x:c>
      <x:c r="D16" s="74" t="str">
        <x:v>運送業 燃料代 払えない</x:v>
      </x:c>
      <x:c r="E16" s="114" t="str"/>
      <x:c r="F16" s="114" t="str"/>
      <x:c r="G16" s="115" t="str"/>
      <x:c r="H16" s="76" t="str">
        <x:f>IF(OR(F16="",G16=""),"",G16/F16)</x:f>
      </x:c>
      <x:c r="I16" s="114" t="str"/>
      <x:c r="J16" s="129" t="str">
        <x:f>IF(OR(F16="",I16=""),"",I16/F16)</x:f>
      </x:c>
      <x:c r="K16" s="114" t="str"/>
      <x:c r="L16" s="114" t="str"/>
      <x:c r="M16" s="114" t="str"/>
      <x:c r="N16" s="117" t="str">
        <x:v>未判定</x:v>
      </x:c>
    </x:row>
    <x:row r="17" ht="24" customHeight="1">
      <x:c r="A17" s="128" t="str"/>
      <x:c r="B17" s="74" t="str">
        <x:v>共通探索CP</x:v>
      </x:c>
      <x:c r="C17" s="74" t="str">
        <x:v>AG02 資金不足・支払い</x:v>
      </x:c>
      <x:c r="D17" s="74" t="str">
        <x:v>運送会社 給料 払えない</x:v>
      </x:c>
      <x:c r="E17" s="114" t="str"/>
      <x:c r="F17" s="114" t="str"/>
      <x:c r="G17" s="115" t="str"/>
      <x:c r="H17" s="76" t="str">
        <x:f>IF(OR(F17="",G17=""),"",G17/F17)</x:f>
      </x:c>
      <x:c r="I17" s="114" t="str"/>
      <x:c r="J17" s="129" t="str">
        <x:f>IF(OR(F17="",I17=""),"",I17/F17)</x:f>
      </x:c>
      <x:c r="K17" s="114" t="str"/>
      <x:c r="L17" s="114" t="str"/>
      <x:c r="M17" s="114" t="str"/>
      <x:c r="N17" s="117" t="str">
        <x:v>未判定</x:v>
      </x:c>
    </x:row>
    <x:row r="18" ht="24" customHeight="1">
      <x:c r="A18" s="128" t="str"/>
      <x:c r="B18" s="74" t="str">
        <x:v>共通探索CP</x:v>
      </x:c>
      <x:c r="C18" s="74" t="str">
        <x:v>AG03 車両資金</x:v>
      </x:c>
      <x:c r="D18" s="74" t="str">
        <x:v>運送会社 車両修理 資金</x:v>
      </x:c>
      <x:c r="E18" s="114" t="str"/>
      <x:c r="F18" s="114" t="str"/>
      <x:c r="G18" s="115" t="str"/>
      <x:c r="H18" s="76" t="str">
        <x:f>IF(OR(F18="",G18=""),"",G18/F18)</x:f>
      </x:c>
      <x:c r="I18" s="114" t="str"/>
      <x:c r="J18" s="129" t="str">
        <x:f>IF(OR(F18="",I18=""),"",I18/F18)</x:f>
      </x:c>
      <x:c r="K18" s="114" t="str"/>
      <x:c r="L18" s="114" t="str"/>
      <x:c r="M18" s="114" t="str"/>
      <x:c r="N18" s="117" t="str">
        <x:v>未判定</x:v>
      </x:c>
    </x:row>
    <x:row r="19" ht="24" customHeight="1">
      <x:c r="A19" s="128" t="str"/>
      <x:c r="B19" s="74" t="str">
        <x:v>共通探索CP</x:v>
      </x:c>
      <x:c r="C19" s="74" t="str">
        <x:v>AG03 車両資金</x:v>
      </x:c>
      <x:c r="D19" s="74" t="str">
        <x:v>トラック 修理 資金</x:v>
      </x:c>
      <x:c r="E19" s="114" t="str"/>
      <x:c r="F19" s="114" t="str"/>
      <x:c r="G19" s="115" t="str"/>
      <x:c r="H19" s="76" t="str">
        <x:f>IF(OR(F19="",G19=""),"",G19/F19)</x:f>
      </x:c>
      <x:c r="I19" s="114" t="str"/>
      <x:c r="J19" s="129" t="str">
        <x:f>IF(OR(F19="",I19=""),"",I19/F19)</x:f>
      </x:c>
      <x:c r="K19" s="114" t="str"/>
      <x:c r="L19" s="114" t="str"/>
      <x:c r="M19" s="114" t="str"/>
      <x:c r="N19" s="117" t="str">
        <x:v>未判定</x:v>
      </x:c>
    </x:row>
    <x:row r="20" ht="24" customHeight="1">
      <x:c r="A20" s="128" t="str"/>
      <x:c r="B20" s="74" t="str">
        <x:v>共通探索CP</x:v>
      </x:c>
      <x:c r="C20" s="74" t="str">
        <x:v>AG03 車両資金</x:v>
      </x:c>
      <x:c r="D20" s="74" t="str">
        <x:v>トラック 修理費 払えない</x:v>
      </x:c>
      <x:c r="E20" s="114" t="str"/>
      <x:c r="F20" s="114" t="str"/>
      <x:c r="G20" s="115" t="str"/>
      <x:c r="H20" s="76" t="str">
        <x:f>IF(OR(F20="",G20=""),"",G20/F20)</x:f>
      </x:c>
      <x:c r="I20" s="114" t="str"/>
      <x:c r="J20" s="129" t="str">
        <x:f>IF(OR(F20="",I20=""),"",I20/F20)</x:f>
      </x:c>
      <x:c r="K20" s="114" t="str"/>
      <x:c r="L20" s="114" t="str"/>
      <x:c r="M20" s="114" t="str"/>
      <x:c r="N20" s="117" t="str">
        <x:v>未判定</x:v>
      </x:c>
    </x:row>
    <x:row r="21" ht="24" customHeight="1">
      <x:c r="A21" s="128" t="str"/>
      <x:c r="B21" s="74" t="str">
        <x:v>共通探索CP</x:v>
      </x:c>
      <x:c r="C21" s="74" t="str">
        <x:v>AG03 車両資金</x:v>
      </x:c>
      <x:c r="D21" s="74" t="str">
        <x:v>トラック 増車 資金</x:v>
      </x:c>
      <x:c r="E21" s="114" t="str"/>
      <x:c r="F21" s="114" t="str"/>
      <x:c r="G21" s="115" t="str"/>
      <x:c r="H21" s="76" t="str">
        <x:f>IF(OR(F21="",G21=""),"",G21/F21)</x:f>
      </x:c>
      <x:c r="I21" s="114" t="str"/>
      <x:c r="J21" s="129" t="str">
        <x:f>IF(OR(F21="",I21=""),"",I21/F21)</x:f>
      </x:c>
      <x:c r="K21" s="114" t="str"/>
      <x:c r="L21" s="114" t="str"/>
      <x:c r="M21" s="114" t="str"/>
      <x:c r="N21" s="117" t="str">
        <x:v>未判定</x:v>
      </x:c>
    </x:row>
    <x:row r="22" ht="24" customHeight="1">
      <x:c r="A22" s="128" t="str"/>
      <x:c r="B22" s="74" t="str">
        <x:v>共通探索CP</x:v>
      </x:c>
      <x:c r="C22" s="74" t="str">
        <x:v>AG04 傭車・協力会社支払</x:v>
      </x:c>
      <x:c r="D22" s="74" t="str">
        <x:v>傭車費</x:v>
      </x:c>
      <x:c r="E22" s="114" t="str"/>
      <x:c r="F22" s="114" t="str"/>
      <x:c r="G22" s="115" t="str"/>
      <x:c r="H22" s="76" t="str">
        <x:f>IF(OR(F22="",G22=""),"",G22/F22)</x:f>
      </x:c>
      <x:c r="I22" s="114" t="str"/>
      <x:c r="J22" s="129" t="str">
        <x:f>IF(OR(F22="",I22=""),"",I22/F22)</x:f>
      </x:c>
      <x:c r="K22" s="114" t="str"/>
      <x:c r="L22" s="114" t="str"/>
      <x:c r="M22" s="114" t="str"/>
      <x:c r="N22" s="117" t="str">
        <x:v>未判定</x:v>
      </x:c>
    </x:row>
    <x:row r="23" ht="24" customHeight="1">
      <x:c r="A23" s="128" t="str"/>
      <x:c r="B23" s="74" t="str">
        <x:v>共通探索CP</x:v>
      </x:c>
      <x:c r="C23" s="74" t="str">
        <x:v>AG04 傭車・協力会社支払</x:v>
      </x:c>
      <x:c r="D23" s="74" t="str">
        <x:v>傭車代</x:v>
      </x:c>
      <x:c r="E23" s="114" t="str"/>
      <x:c r="F23" s="114" t="str"/>
      <x:c r="G23" s="115" t="str"/>
      <x:c r="H23" s="76" t="str">
        <x:f>IF(OR(F23="",G23=""),"",G23/F23)</x:f>
      </x:c>
      <x:c r="I23" s="114" t="str"/>
      <x:c r="J23" s="129" t="str">
        <x:f>IF(OR(F23="",I23=""),"",I23/F23)</x:f>
      </x:c>
      <x:c r="K23" s="114" t="str"/>
      <x:c r="L23" s="114" t="str"/>
      <x:c r="M23" s="114" t="str"/>
      <x:c r="N23" s="117" t="str">
        <x:v>未判定</x:v>
      </x:c>
    </x:row>
    <x:row r="24" ht="24" customHeight="1">
      <x:c r="A24" s="128" t="str"/>
      <x:c r="B24" s="74" t="str">
        <x:v>共通探索CP</x:v>
      </x:c>
      <x:c r="C24" s="74" t="str">
        <x:v>AG04 傭車・協力会社支払</x:v>
      </x:c>
      <x:c r="D24" s="74" t="str">
        <x:v>傭車費</x:v>
      </x:c>
      <x:c r="E24" s="114" t="str"/>
      <x:c r="F24" s="114" t="str"/>
      <x:c r="G24" s="115" t="str"/>
      <x:c r="H24" s="76" t="str">
        <x:f>IF(OR(F24="",G24=""),"",G24/F24)</x:f>
      </x:c>
      <x:c r="I24" s="114" t="str"/>
      <x:c r="J24" s="129" t="str">
        <x:f>IF(OR(F24="",I24=""),"",I24/F24)</x:f>
      </x:c>
      <x:c r="K24" s="114" t="str"/>
      <x:c r="L24" s="114" t="str"/>
      <x:c r="M24" s="114" t="str"/>
      <x:c r="N24" s="117" t="str">
        <x:v>未判定</x:v>
      </x:c>
    </x:row>
    <x:row r="25" ht="24" customHeight="1">
      <x:c r="A25" s="128" t="str"/>
      <x:c r="B25" s="74" t="str">
        <x:v>共通探索CP</x:v>
      </x:c>
      <x:c r="C25" s="74" t="str">
        <x:v>AG04 傭車・協力会社支払</x:v>
      </x:c>
      <x:c r="D25" s="74" t="str">
        <x:v>庸車代</x:v>
      </x:c>
      <x:c r="E25" s="114" t="str"/>
      <x:c r="F25" s="114" t="str"/>
      <x:c r="G25" s="115" t="str"/>
      <x:c r="H25" s="76" t="str">
        <x:f>IF(OR(F25="",G25=""),"",G25/F25)</x:f>
      </x:c>
      <x:c r="I25" s="114" t="str"/>
      <x:c r="J25" s="129" t="str">
        <x:f>IF(OR(F25="",I25=""),"",I25/F25)</x:f>
      </x:c>
      <x:c r="K25" s="114" t="str"/>
      <x:c r="L25" s="114" t="str"/>
      <x:c r="M25" s="114" t="str"/>
      <x:c r="N25" s="117" t="str">
        <x:v>未判定</x:v>
      </x:c>
    </x:row>
    <x:row r="26" ht="24" customHeight="1">
      <x:c r="A26" s="128" t="str"/>
      <x:c r="B26" s="74" t="str">
        <x:v>共通探索CP</x:v>
      </x:c>
      <x:c r="C26" s="74" t="str">
        <x:v>AG04 傭車・協力会社支払</x:v>
      </x:c>
      <x:c r="D26" s="74" t="str">
        <x:v>庸車費</x:v>
      </x:c>
      <x:c r="E26" s="114" t="str"/>
      <x:c r="F26" s="114" t="str"/>
      <x:c r="G26" s="115" t="str"/>
      <x:c r="H26" s="76" t="str">
        <x:f>IF(OR(F26="",G26=""),"",G26/F26)</x:f>
      </x:c>
      <x:c r="I26" s="114" t="str"/>
      <x:c r="J26" s="129" t="str">
        <x:f>IF(OR(F26="",I26=""),"",I26/F26)</x:f>
      </x:c>
      <x:c r="K26" s="114" t="str"/>
      <x:c r="L26" s="114" t="str"/>
      <x:c r="M26" s="114" t="str"/>
      <x:c r="N26" s="117" t="str">
        <x:v>未判定</x:v>
      </x:c>
    </x:row>
    <x:row r="27" ht="24" customHeight="1">
      <x:c r="A27" s="128" t="str"/>
      <x:c r="B27" s="74" t="str">
        <x:v>共通探索CP</x:v>
      </x:c>
      <x:c r="C27" s="74" t="str">
        <x:v>AG04 傭車・協力会社支払</x:v>
      </x:c>
      <x:c r="D27" s="74" t="str">
        <x:v>傭車代 支払い</x:v>
      </x:c>
      <x:c r="E27" s="114" t="str"/>
      <x:c r="F27" s="114" t="str"/>
      <x:c r="G27" s="115" t="str"/>
      <x:c r="H27" s="76" t="str">
        <x:f>IF(OR(F27="",G27=""),"",G27/F27)</x:f>
      </x:c>
      <x:c r="I27" s="114" t="str"/>
      <x:c r="J27" s="129" t="str">
        <x:f>IF(OR(F27="",I27=""),"",I27/F27)</x:f>
      </x:c>
      <x:c r="K27" s="114" t="str"/>
      <x:c r="L27" s="114" t="str"/>
      <x:c r="M27" s="114" t="str"/>
      <x:c r="N27" s="117" t="str">
        <x:v>未判定</x:v>
      </x:c>
    </x:row>
    <x:row r="28" ht="24" customHeight="1">
      <x:c r="A28" s="128" t="str"/>
      <x:c r="B28" s="74" t="str">
        <x:v>共通探索CP</x:v>
      </x:c>
      <x:c r="C28" s="74" t="str">
        <x:v>AG04 傭車・協力会社支払</x:v>
      </x:c>
      <x:c r="D28" s="74" t="str">
        <x:v>傭車代 資金繰り</x:v>
      </x:c>
      <x:c r="E28" s="114" t="str"/>
      <x:c r="F28" s="114" t="str"/>
      <x:c r="G28" s="115" t="str"/>
      <x:c r="H28" s="76" t="str">
        <x:f>IF(OR(F28="",G28=""),"",G28/F28)</x:f>
      </x:c>
      <x:c r="I28" s="114" t="str"/>
      <x:c r="J28" s="129" t="str">
        <x:f>IF(OR(F28="",I28=""),"",I28/F28)</x:f>
      </x:c>
      <x:c r="K28" s="114" t="str"/>
      <x:c r="L28" s="114" t="str"/>
      <x:c r="M28" s="114" t="str"/>
      <x:c r="N28" s="117" t="str">
        <x:v>未判定</x:v>
      </x:c>
    </x:row>
    <x:row r="29" ht="24" customHeight="1">
      <x:c r="A29" s="128" t="str"/>
      <x:c r="B29" s="74" t="str">
        <x:v>共通探索CP</x:v>
      </x:c>
      <x:c r="C29" s="74" t="str">
        <x:v>AG04 傭車・協力会社支払</x:v>
      </x:c>
      <x:c r="D29" s="74" t="str">
        <x:v>協力会社 支払い 間に合わない 運送</x:v>
      </x:c>
      <x:c r="E29" s="114" t="str"/>
      <x:c r="F29" s="114" t="str"/>
      <x:c r="G29" s="115" t="str"/>
      <x:c r="H29" s="76" t="str">
        <x:f>IF(OR(F29="",G29=""),"",G29/F29)</x:f>
      </x:c>
      <x:c r="I29" s="114" t="str"/>
      <x:c r="J29" s="129" t="str">
        <x:f>IF(OR(F29="",I29=""),"",I29/F29)</x:f>
      </x:c>
      <x:c r="K29" s="114" t="str"/>
      <x:c r="L29" s="114" t="str"/>
      <x:c r="M29" s="114" t="str"/>
      <x:c r="N29" s="117" t="str">
        <x:v>未判定</x:v>
      </x:c>
    </x:row>
    <x:row r="30" ht="24" customHeight="1">
      <x:c r="A30" s="128" t="str"/>
      <x:c r="B30" s="74" t="str">
        <x:v>共通探索CP</x:v>
      </x:c>
      <x:c r="C30" s="74" t="str">
        <x:v>AG04 傭車・協力会社支払</x:v>
      </x:c>
      <x:c r="D30" s="74" t="str">
        <x:v>繁忙期 傭車 資金</x:v>
      </x:c>
      <x:c r="E30" s="114" t="str"/>
      <x:c r="F30" s="114" t="str"/>
      <x:c r="G30" s="115" t="str"/>
      <x:c r="H30" s="76" t="str">
        <x:f>IF(OR(F30="",G30=""),"",G30/F30)</x:f>
      </x:c>
      <x:c r="I30" s="114" t="str"/>
      <x:c r="J30" s="129" t="str">
        <x:f>IF(OR(F30="",I30=""),"",I30/F30)</x:f>
      </x:c>
      <x:c r="K30" s="114" t="str"/>
      <x:c r="L30" s="114" t="str"/>
      <x:c r="M30" s="114" t="str"/>
      <x:c r="N30" s="117" t="str">
        <x:v>未判定</x:v>
      </x:c>
    </x:row>
    <x:row r="31" ht="24" customHeight="1">
      <x:c r="A31" s="128" t="str"/>
      <x:c r="B31" s="74" t="str">
        <x:v>共通探索CP</x:v>
      </x:c>
      <x:c r="C31" s="74" t="str">
        <x:v>AG04 傭車・協力会社支払</x:v>
      </x:c>
      <x:c r="D31" s="74" t="str">
        <x:v>受注増 傭車代</x:v>
      </x:c>
      <x:c r="E31" s="114" t="str"/>
      <x:c r="F31" s="114" t="str"/>
      <x:c r="G31" s="115" t="str"/>
      <x:c r="H31" s="76" t="str">
        <x:f>IF(OR(F31="",G31=""),"",G31/F31)</x:f>
      </x:c>
      <x:c r="I31" s="114" t="str"/>
      <x:c r="J31" s="129" t="str">
        <x:f>IF(OR(F31="",I31=""),"",I31/F31)</x:f>
      </x:c>
      <x:c r="K31" s="114" t="str"/>
      <x:c r="L31" s="114" t="str"/>
      <x:c r="M31" s="114" t="str"/>
      <x:c r="N31" s="117" t="str">
        <x:v>未判定</x:v>
      </x:c>
    </x:row>
    <x:row r="32" ht="24" customHeight="1">
      <x:c r="A32" s="128" t="str"/>
      <x:c r="B32" s="74" t="str">
        <x:v>共通探索CP</x:v>
      </x:c>
      <x:c r="C32" s="74" t="str">
        <x:v>AG05 受注増・入金ギャップ</x:v>
      </x:c>
      <x:c r="D32" s="74" t="str">
        <x:v>大口受注 資金不足 運送</x:v>
      </x:c>
      <x:c r="E32" s="114" t="str"/>
      <x:c r="F32" s="114" t="str"/>
      <x:c r="G32" s="115" t="str"/>
      <x:c r="H32" s="76" t="str">
        <x:f>IF(OR(F32="",G32=""),"",G32/F32)</x:f>
      </x:c>
      <x:c r="I32" s="114" t="str"/>
      <x:c r="J32" s="129" t="str">
        <x:f>IF(OR(F32="",I32=""),"",I32/F32)</x:f>
      </x:c>
      <x:c r="K32" s="114" t="str"/>
      <x:c r="L32" s="114" t="str"/>
      <x:c r="M32" s="114" t="str"/>
      <x:c r="N32" s="117" t="str">
        <x:v>未判定</x:v>
      </x:c>
    </x:row>
    <x:row r="33" ht="24" customHeight="1">
      <x:c r="A33" s="128" t="str"/>
      <x:c r="B33" s="74" t="str">
        <x:v>共通探索CP</x:v>
      </x:c>
      <x:c r="C33" s="74" t="str">
        <x:v>AG05 受注増・入金ギャップ</x:v>
      </x:c>
      <x:c r="D33" s="74" t="str">
        <x:v>繁忙期 運転資金 運送会社</x:v>
      </x:c>
      <x:c r="E33" s="114" t="str"/>
      <x:c r="F33" s="114" t="str"/>
      <x:c r="G33" s="115" t="str"/>
      <x:c r="H33" s="76" t="str">
        <x:f>IF(OR(F33="",G33=""),"",G33/F33)</x:f>
      </x:c>
      <x:c r="I33" s="114" t="str"/>
      <x:c r="J33" s="129" t="str">
        <x:f>IF(OR(F33="",I33=""),"",I33/F33)</x:f>
      </x:c>
      <x:c r="K33" s="114" t="str"/>
      <x:c r="L33" s="114" t="str"/>
      <x:c r="M33" s="114" t="str"/>
      <x:c r="N33" s="117" t="str">
        <x:v>未判定</x:v>
      </x:c>
    </x:row>
    <x:row r="34" ht="24" customHeight="1">
      <x:c r="A34" s="128" t="str"/>
      <x:c r="B34" s="74" t="str">
        <x:v>共通探索CP</x:v>
      </x:c>
      <x:c r="C34" s="74" t="str">
        <x:v>AG05 受注増・入金ギャップ</x:v>
      </x:c>
      <x:c r="D34" s="74" t="str">
        <x:v>増便 資金 運送会社</x:v>
      </x:c>
      <x:c r="E34" s="114" t="str"/>
      <x:c r="F34" s="114" t="str"/>
      <x:c r="G34" s="115" t="str"/>
      <x:c r="H34" s="76" t="str">
        <x:f>IF(OR(F34="",G34=""),"",G34/F34)</x:f>
      </x:c>
      <x:c r="I34" s="114" t="str"/>
      <x:c r="J34" s="129" t="str">
        <x:f>IF(OR(F34="",I34=""),"",I34/F34)</x:f>
      </x:c>
      <x:c r="K34" s="114" t="str"/>
      <x:c r="L34" s="114" t="str"/>
      <x:c r="M34" s="114" t="str"/>
      <x:c r="N34" s="117" t="str">
        <x:v>未判定</x:v>
      </x:c>
    </x:row>
    <x:row r="35" ht="24" customHeight="1">
      <x:c r="A35" s="128" t="str"/>
      <x:c r="B35" s="74" t="str">
        <x:v>共通探索CP</x:v>
      </x:c>
      <x:c r="C35" s="74" t="str">
        <x:v>AG05 受注増・入金ギャップ</x:v>
      </x:c>
      <x:c r="D35" s="74" t="str">
        <x:v>新規荷主 運転資金</x:v>
      </x:c>
      <x:c r="E35" s="114" t="str"/>
      <x:c r="F35" s="114" t="str"/>
      <x:c r="G35" s="115" t="str"/>
      <x:c r="H35" s="76" t="str">
        <x:f>IF(OR(F35="",G35=""),"",G35/F35)</x:f>
      </x:c>
      <x:c r="I35" s="114" t="str"/>
      <x:c r="J35" s="129" t="str">
        <x:f>IF(OR(F35="",I35=""),"",I35/F35)</x:f>
      </x:c>
      <x:c r="K35" s="114" t="str"/>
      <x:c r="L35" s="114" t="str"/>
      <x:c r="M35" s="114" t="str"/>
      <x:c r="N35" s="117" t="str">
        <x:v>未判定</x:v>
      </x:c>
    </x:row>
    <x:row r="36" ht="24" customHeight="1">
      <x:c r="A36" s="128" t="str"/>
      <x:c r="B36" s="74" t="str">
        <x:v>共通探索CP</x:v>
      </x:c>
      <x:c r="C36" s="74" t="str">
        <x:v>AG05 受注増・入金ギャップ</x:v>
      </x:c>
      <x:c r="D36" s="74" t="str">
        <x:v>荷主 入金 遅い 運送会社</x:v>
      </x:c>
      <x:c r="E36" s="114" t="str"/>
      <x:c r="F36" s="114" t="str"/>
      <x:c r="G36" s="115" t="str"/>
      <x:c r="H36" s="76" t="str">
        <x:f>IF(OR(F36="",G36=""),"",G36/F36)</x:f>
      </x:c>
      <x:c r="I36" s="114" t="str"/>
      <x:c r="J36" s="129" t="str">
        <x:f>IF(OR(F36="",I36=""),"",I36/F36)</x:f>
      </x:c>
      <x:c r="K36" s="114" t="str"/>
      <x:c r="L36" s="114" t="str"/>
      <x:c r="M36" s="114" t="str"/>
      <x:c r="N36" s="117" t="str">
        <x:v>未判定</x:v>
      </x:c>
    </x:row>
    <x:row r="37" ht="24" customHeight="1">
      <x:c r="A37" s="128" t="str"/>
      <x:c r="B37" s="74" t="str">
        <x:v>共通探索CP</x:v>
      </x:c>
      <x:c r="C37" s="74" t="str">
        <x:v>AG05 受注増・入金ギャップ</x:v>
      </x:c>
      <x:c r="D37" s="74" t="str">
        <x:v>入金前 支払い 運送会社</x:v>
      </x:c>
      <x:c r="E37" s="114" t="str"/>
      <x:c r="F37" s="114" t="str"/>
      <x:c r="G37" s="115" t="str"/>
      <x:c r="H37" s="76" t="str">
        <x:f>IF(OR(F37="",G37=""),"",G37/F37)</x:f>
      </x:c>
      <x:c r="I37" s="114" t="str"/>
      <x:c r="J37" s="129" t="str">
        <x:f>IF(OR(F37="",I37=""),"",I37/F37)</x:f>
      </x:c>
      <x:c r="K37" s="114" t="str"/>
      <x:c r="L37" s="114" t="str"/>
      <x:c r="M37" s="114" t="str"/>
      <x:c r="N37" s="117" t="str">
        <x:v>未判定</x:v>
      </x:c>
    </x:row>
    <x:row r="38" ht="24" customHeight="1">
      <x:c r="A38" s="128" t="str"/>
      <x:c r="B38" s="74" t="str">
        <x:v>共通探索CP</x:v>
      </x:c>
      <x:c r="C38" s="74" t="str">
        <x:v>AG05 受注増・入金ギャップ</x:v>
      </x:c>
      <x:c r="D38" s="74" t="str">
        <x:v>運送会社 売掛金 入金前 資金</x:v>
      </x:c>
      <x:c r="E38" s="114" t="str"/>
      <x:c r="F38" s="114" t="str"/>
      <x:c r="G38" s="115" t="str"/>
      <x:c r="H38" s="76" t="str">
        <x:f>IF(OR(F38="",G38=""),"",G38/F38)</x:f>
      </x:c>
      <x:c r="I38" s="114" t="str"/>
      <x:c r="J38" s="129" t="str">
        <x:f>IF(OR(F38="",I38=""),"",I38/F38)</x:f>
      </x:c>
      <x:c r="K38" s="114" t="str"/>
      <x:c r="L38" s="114" t="str"/>
      <x:c r="M38" s="114" t="str"/>
      <x:c r="N38" s="117" t="str">
        <x:v>未判定</x:v>
      </x:c>
    </x:row>
    <x:row r="39" ht="24" customHeight="1">
      <x:c r="A39" s="128" t="str"/>
      <x:c r="B39" s="74" t="str">
        <x:v>共通探索CP</x:v>
      </x:c>
      <x:c r="C39" s="74" t="str">
        <x:v>AG05 受注増・入金ギャップ</x:v>
      </x:c>
      <x:c r="D39" s="74" t="str">
        <x:v>受注増 資金繰り 運送会社</x:v>
      </x:c>
      <x:c r="E39" s="114" t="str"/>
      <x:c r="F39" s="114" t="str"/>
      <x:c r="G39" s="115" t="str"/>
      <x:c r="H39" s="76" t="str">
        <x:f>IF(OR(F39="",G39=""),"",G39/F39)</x:f>
      </x:c>
      <x:c r="I39" s="114" t="str"/>
      <x:c r="J39" s="129" t="str">
        <x:f>IF(OR(F39="",I39=""),"",I39/F39)</x:f>
      </x:c>
      <x:c r="K39" s="114" t="str"/>
      <x:c r="L39" s="114" t="str"/>
      <x:c r="M39" s="114" t="str"/>
      <x:c r="N39" s="117" t="str">
        <x:v>未判定</x:v>
      </x:c>
    </x:row>
    <x:row r="40" ht="24" customHeight="1">
      <x:c r="A40" s="128" t="str"/>
      <x:c r="B40" s="74" t="str">
        <x:v>共通探索CP</x:v>
      </x:c>
      <x:c r="C40" s="74" t="str">
        <x:v>AG06 車両導入・リース否決</x:v>
      </x:c>
      <x:c r="D40" s="74" t="str">
        <x:v>法人 カーリース 審査 通らない</x:v>
      </x:c>
      <x:c r="E40" s="114" t="str"/>
      <x:c r="F40" s="114" t="str"/>
      <x:c r="G40" s="115" t="str"/>
      <x:c r="H40" s="76" t="str">
        <x:f>IF(OR(F40="",G40=""),"",G40/F40)</x:f>
      </x:c>
      <x:c r="I40" s="114" t="str"/>
      <x:c r="J40" s="129" t="str">
        <x:f>IF(OR(F40="",I40=""),"",I40/F40)</x:f>
      </x:c>
      <x:c r="K40" s="114" t="str"/>
      <x:c r="L40" s="114" t="str"/>
      <x:c r="M40" s="114" t="str"/>
      <x:c r="N40" s="117" t="str">
        <x:v>未判定</x:v>
      </x:c>
    </x:row>
    <x:row r="41" ht="24" customHeight="1">
      <x:c r="A41" s="128" t="str"/>
      <x:c r="B41" s="74" t="str">
        <x:v>共通探索CP</x:v>
      </x:c>
      <x:c r="C41" s="74" t="str">
        <x:v>AG06 車両導入・リース否決</x:v>
      </x:c>
      <x:c r="D41" s="74" t="str">
        <x:v>トラック ローン 審査 通らない</x:v>
      </x:c>
      <x:c r="E41" s="114" t="str"/>
      <x:c r="F41" s="114" t="str"/>
      <x:c r="G41" s="115" t="str"/>
      <x:c r="H41" s="76" t="str">
        <x:f>IF(OR(F41="",G41=""),"",G41/F41)</x:f>
      </x:c>
      <x:c r="I41" s="114" t="str"/>
      <x:c r="J41" s="129" t="str">
        <x:f>IF(OR(F41="",I41=""),"",I41/F41)</x:f>
      </x:c>
      <x:c r="K41" s="114" t="str"/>
      <x:c r="L41" s="114" t="str"/>
      <x:c r="M41" s="114" t="str"/>
      <x:c r="N41" s="117" t="str">
        <x:v>未判定</x:v>
      </x:c>
    </x:row>
    <x:row r="42" ht="24" customHeight="1">
      <x:c r="A42" s="128" t="str"/>
      <x:c r="B42" s="74" t="str">
        <x:v>共通探索CP</x:v>
      </x:c>
      <x:c r="C42" s="74" t="str">
        <x:v>AG06 車両導入・リース否決</x:v>
      </x:c>
      <x:c r="D42" s="74" t="str">
        <x:v>トラック リース 審査 通らない</x:v>
      </x:c>
      <x:c r="E42" s="114" t="str"/>
      <x:c r="F42" s="114" t="str"/>
      <x:c r="G42" s="115" t="str"/>
      <x:c r="H42" s="76" t="str">
        <x:f>IF(OR(F42="",G42=""),"",G42/F42)</x:f>
      </x:c>
      <x:c r="I42" s="114" t="str"/>
      <x:c r="J42" s="129" t="str">
        <x:f>IF(OR(F42="",I42=""),"",I42/F42)</x:f>
      </x:c>
      <x:c r="K42" s="114" t="str"/>
      <x:c r="L42" s="114" t="str"/>
      <x:c r="M42" s="114" t="str"/>
      <x:c r="N42" s="117" t="str">
        <x:v>未判定</x:v>
      </x:c>
    </x:row>
    <x:row r="43" ht="24" customHeight="1">
      <x:c r="A43" s="128" t="str"/>
      <x:c r="B43" s="74" t="str">
        <x:v>共通探索CP</x:v>
      </x:c>
      <x:c r="C43" s="74" t="str">
        <x:v>AG06 車両導入・リース否決</x:v>
      </x:c>
      <x:c r="D43" s="74" t="str">
        <x:v>法人 トラック リース 審査 落ち</x:v>
      </x:c>
      <x:c r="E43" s="114" t="str"/>
      <x:c r="F43" s="114" t="str"/>
      <x:c r="G43" s="115" t="str"/>
      <x:c r="H43" s="76" t="str">
        <x:f>IF(OR(F43="",G43=""),"",G43/F43)</x:f>
      </x:c>
      <x:c r="I43" s="114" t="str"/>
      <x:c r="J43" s="129" t="str">
        <x:f>IF(OR(F43="",I43=""),"",I43/F43)</x:f>
      </x:c>
      <x:c r="K43" s="114" t="str"/>
      <x:c r="L43" s="114" t="str"/>
      <x:c r="M43" s="114" t="str"/>
      <x:c r="N43" s="117" t="str">
        <x:v>未判定</x:v>
      </x:c>
    </x:row>
    <x:row r="44" ht="24" customHeight="1">
      <x:c r="A44" s="128" t="str"/>
      <x:c r="B44" s="74" t="str">
        <x:v>共通探索CP</x:v>
      </x:c>
      <x:c r="C44" s="74" t="str">
        <x:v>AG06 車両導入・リース否決</x:v>
      </x:c>
      <x:c r="D44" s="74" t="str">
        <x:v>トラック 頭金 足りない</x:v>
      </x:c>
      <x:c r="E44" s="114" t="str"/>
      <x:c r="F44" s="114" t="str"/>
      <x:c r="G44" s="115" t="str"/>
      <x:c r="H44" s="76" t="str">
        <x:f>IF(OR(F44="",G44=""),"",G44/F44)</x:f>
      </x:c>
      <x:c r="I44" s="114" t="str"/>
      <x:c r="J44" s="129" t="str">
        <x:f>IF(OR(F44="",I44=""),"",I44/F44)</x:f>
      </x:c>
      <x:c r="K44" s="114" t="str"/>
      <x:c r="L44" s="114" t="str"/>
      <x:c r="M44" s="114" t="str"/>
      <x:c r="N44" s="117" t="str">
        <x:v>未判定</x:v>
      </x:c>
    </x:row>
    <x:row r="45" ht="24" customHeight="1">
      <x:c r="A45" s="128" t="str"/>
      <x:c r="B45" s="74" t="str">
        <x:v>共通探索CP</x:v>
      </x:c>
      <x:c r="C45" s="74" t="str">
        <x:v>AG06 車両導入・リース否決</x:v>
      </x:c>
      <x:c r="D45" s="74" t="str">
        <x:v>トラック 購入 自己資金 足りない</x:v>
      </x:c>
      <x:c r="E45" s="114" t="str"/>
      <x:c r="F45" s="114" t="str"/>
      <x:c r="G45" s="115" t="str"/>
      <x:c r="H45" s="76" t="str">
        <x:f>IF(OR(F45="",G45=""),"",G45/F45)</x:f>
      </x:c>
      <x:c r="I45" s="114" t="str"/>
      <x:c r="J45" s="129" t="str">
        <x:f>IF(OR(F45="",I45=""),"",I45/F45)</x:f>
      </x:c>
      <x:c r="K45" s="114" t="str"/>
      <x:c r="L45" s="114" t="str"/>
      <x:c r="M45" s="114" t="str"/>
      <x:c r="N45" s="117" t="str">
        <x:v>未判定</x:v>
      </x:c>
    </x:row>
    <x:row r="46" ht="24" customHeight="1">
      <x:c r="A46" s="128" t="str"/>
      <x:c r="B46" s="74" t="str">
        <x:v>共通探索CP</x:v>
      </x:c>
      <x:c r="C46" s="74" t="str">
        <x:v>AG06 車両導入・リース否決</x:v>
      </x:c>
      <x:c r="D46" s="74" t="str">
        <x:v>トラック 増車</x:v>
      </x:c>
      <x:c r="E46" s="114" t="str"/>
      <x:c r="F46" s="114" t="str"/>
      <x:c r="G46" s="115" t="str"/>
      <x:c r="H46" s="76" t="str">
        <x:f>IF(OR(F46="",G46=""),"",G46/F46)</x:f>
      </x:c>
      <x:c r="I46" s="114" t="str"/>
      <x:c r="J46" s="129" t="str">
        <x:f>IF(OR(F46="",I46=""),"",I46/F46)</x:f>
      </x:c>
      <x:c r="K46" s="114" t="str"/>
      <x:c r="L46" s="114" t="str"/>
      <x:c r="M46" s="114" t="str"/>
      <x:c r="N46" s="117" t="str">
        <x:v>未判定</x:v>
      </x:c>
    </x:row>
    <x:row r="47" ht="24" customHeight="1">
      <x:c r="A47" s="128" t="str"/>
      <x:c r="B47" s="74" t="str">
        <x:v>共通探索CP</x:v>
      </x:c>
      <x:c r="C47" s="74" t="str">
        <x:v>AG06 車両導入・リース否決</x:v>
      </x:c>
      <x:c r="D47" s="74" t="str">
        <x:v>トラック 増車 ローン</x:v>
      </x:c>
      <x:c r="E47" s="114" t="str"/>
      <x:c r="F47" s="114" t="str"/>
      <x:c r="G47" s="115" t="str"/>
      <x:c r="H47" s="76" t="str">
        <x:f>IF(OR(F47="",G47=""),"",G47/F47)</x:f>
      </x:c>
      <x:c r="I47" s="114" t="str"/>
      <x:c r="J47" s="129" t="str">
        <x:f>IF(OR(F47="",I47=""),"",I47/F47)</x:f>
      </x:c>
      <x:c r="K47" s="114" t="str"/>
      <x:c r="L47" s="114" t="str"/>
      <x:c r="M47" s="114" t="str"/>
      <x:c r="N47" s="117" t="str">
        <x:v>未判定</x:v>
      </x:c>
    </x:row>
    <x:row r="48" ht="24" customHeight="1">
      <x:c r="A48" s="128" t="str"/>
      <x:c r="B48" s="74" t="str">
        <x:v>共通探索CP</x:v>
      </x:c>
      <x:c r="C48" s="74" t="str">
        <x:v>AG06 車両導入・リース否決</x:v>
      </x:c>
      <x:c r="D48" s="74" t="str">
        <x:v>運送会社 車両増車 資金</x:v>
      </x:c>
      <x:c r="E48" s="114" t="str"/>
      <x:c r="F48" s="114" t="str"/>
      <x:c r="G48" s="115" t="str"/>
      <x:c r="H48" s="76" t="str">
        <x:f>IF(OR(F48="",G48=""),"",G48/F48)</x:f>
      </x:c>
      <x:c r="I48" s="114" t="str"/>
      <x:c r="J48" s="129" t="str">
        <x:f>IF(OR(F48="",I48=""),"",I48/F48)</x:f>
      </x:c>
      <x:c r="K48" s="114" t="str"/>
      <x:c r="L48" s="114" t="str"/>
      <x:c r="M48" s="114" t="str"/>
      <x:c r="N48" s="117" t="str">
        <x:v>未判定</x:v>
      </x:c>
    </x:row>
    <x:row r="49" ht="24" customHeight="1">
      <x:c r="A49" s="128" t="str"/>
      <x:c r="B49" s="74" t="str">
        <x:v>共通探索CP</x:v>
      </x:c>
      <x:c r="C49" s="74" t="str">
        <x:v>AG07 事故・稼働復旧</x:v>
      </x:c>
      <x:c r="D49" s="74" t="str">
        <x:v>トラック 事故 修理費 資金</x:v>
      </x:c>
      <x:c r="E49" s="114" t="str"/>
      <x:c r="F49" s="114" t="str"/>
      <x:c r="G49" s="115" t="str"/>
      <x:c r="H49" s="76" t="str">
        <x:f>IF(OR(F49="",G49=""),"",G49/F49)</x:f>
      </x:c>
      <x:c r="I49" s="114" t="str"/>
      <x:c r="J49" s="129" t="str">
        <x:f>IF(OR(F49="",I49=""),"",I49/F49)</x:f>
      </x:c>
      <x:c r="K49" s="114" t="str"/>
      <x:c r="L49" s="114" t="str"/>
      <x:c r="M49" s="114" t="str"/>
      <x:c r="N49" s="117" t="str">
        <x:v>未判定</x:v>
      </x:c>
    </x:row>
    <x:row r="50" ht="24" customHeight="1">
      <x:c r="A50" s="128" t="str"/>
      <x:c r="B50" s="74" t="str">
        <x:v>共通探索CP</x:v>
      </x:c>
      <x:c r="C50" s="74" t="str">
        <x:v>AG07 事故・稼働復旧</x:v>
      </x:c>
      <x:c r="D50" s="74" t="str">
        <x:v>保険金 入るまで 修理代</x:v>
      </x:c>
      <x:c r="E50" s="114" t="str"/>
      <x:c r="F50" s="114" t="str"/>
      <x:c r="G50" s="115" t="str"/>
      <x:c r="H50" s="76" t="str">
        <x:f>IF(OR(F50="",G50=""),"",G50/F50)</x:f>
      </x:c>
      <x:c r="I50" s="114" t="str"/>
      <x:c r="J50" s="129" t="str">
        <x:f>IF(OR(F50="",I50=""),"",I50/F50)</x:f>
      </x:c>
      <x:c r="K50" s="114" t="str"/>
      <x:c r="L50" s="114" t="str"/>
      <x:c r="M50" s="114" t="str"/>
      <x:c r="N50" s="117" t="str">
        <x:v>未判定</x:v>
      </x:c>
    </x:row>
    <x:row r="51" ht="24" customHeight="1">
      <x:c r="A51" s="128" t="str"/>
      <x:c r="B51" s="74" t="str">
        <x:v>共通探索CP</x:v>
      </x:c>
      <x:c r="C51" s="74" t="str">
        <x:v>AG07 事故・稼働復旧</x:v>
      </x:c>
      <x:c r="D51" s="74" t="str">
        <x:v>事故車 買い替え 資金</x:v>
      </x:c>
      <x:c r="E51" s="114" t="str"/>
      <x:c r="F51" s="114" t="str"/>
      <x:c r="G51" s="115" t="str"/>
      <x:c r="H51" s="76" t="str">
        <x:f>IF(OR(F51="",G51=""),"",G51/F51)</x:f>
      </x:c>
      <x:c r="I51" s="114" t="str"/>
      <x:c r="J51" s="129" t="str">
        <x:f>IF(OR(F51="",I51=""),"",I51/F51)</x:f>
      </x:c>
      <x:c r="K51" s="114" t="str"/>
      <x:c r="L51" s="114" t="str"/>
      <x:c r="M51" s="114" t="str"/>
      <x:c r="N51" s="117" t="str">
        <x:v>未判定</x:v>
      </x:c>
    </x:row>
    <x:row r="52" ht="24" customHeight="1">
      <x:c r="A52" s="128" t="str"/>
      <x:c r="B52" s="74" t="str">
        <x:v>共通探索CP</x:v>
      </x:c>
      <x:c r="C52" s="74" t="str">
        <x:v>AG07 事故・稼働復旧</x:v>
      </x:c>
      <x:c r="D52" s="74" t="str">
        <x:v>運送会社 事故 賠償 支払い</x:v>
      </x:c>
      <x:c r="E52" s="114" t="str"/>
      <x:c r="F52" s="114" t="str"/>
      <x:c r="G52" s="115" t="str"/>
      <x:c r="H52" s="76" t="str">
        <x:f>IF(OR(F52="",G52=""),"",G52/F52)</x:f>
      </x:c>
      <x:c r="I52" s="114" t="str"/>
      <x:c r="J52" s="129" t="str">
        <x:f>IF(OR(F52="",I52=""),"",I52/F52)</x:f>
      </x:c>
      <x:c r="K52" s="114" t="str"/>
      <x:c r="L52" s="114" t="str"/>
      <x:c r="M52" s="114" t="str"/>
      <x:c r="N52" s="117" t="str">
        <x:v>未判定</x:v>
      </x:c>
    </x:row>
    <x:row r="53" ht="24" customHeight="1">
      <x:c r="A53" s="128" t="str"/>
      <x:c r="B53" s="74" t="str">
        <x:v>共通探索CP</x:v>
      </x:c>
      <x:c r="C53" s="74" t="str">
        <x:v>AG07 事故・稼働復旧</x:v>
      </x:c>
      <x:c r="D53" s="74" t="str">
        <x:v>貨物事故 弁償 運送会社</x:v>
      </x:c>
      <x:c r="E53" s="114" t="str"/>
      <x:c r="F53" s="114" t="str"/>
      <x:c r="G53" s="115" t="str"/>
      <x:c r="H53" s="76" t="str">
        <x:f>IF(OR(F53="",G53=""),"",G53/F53)</x:f>
      </x:c>
      <x:c r="I53" s="114" t="str"/>
      <x:c r="J53" s="129" t="str">
        <x:f>IF(OR(F53="",I53=""),"",I53/F53)</x:f>
      </x:c>
      <x:c r="K53" s="114" t="str"/>
      <x:c r="L53" s="114" t="str"/>
      <x:c r="M53" s="114" t="str"/>
      <x:c r="N53" s="117" t="str">
        <x:v>未判定</x:v>
      </x:c>
    </x:row>
    <x:row r="54" ht="24" customHeight="1">
      <x:c r="A54" s="128" t="str"/>
      <x:c r="B54" s="74" t="str">
        <x:v>共通探索CP</x:v>
      </x:c>
      <x:c r="C54" s="74" t="str">
        <x:v>AG07 事故・稼働復旧</x:v>
      </x:c>
      <x:c r="D54" s="74" t="str">
        <x:v>トラック エンジン 修理代 払えない</x:v>
      </x:c>
      <x:c r="E54" s="114" t="str"/>
      <x:c r="F54" s="114" t="str"/>
      <x:c r="G54" s="115" t="str"/>
      <x:c r="H54" s="76" t="str">
        <x:f>IF(OR(F54="",G54=""),"",G54/F54)</x:f>
      </x:c>
      <x:c r="I54" s="114" t="str"/>
      <x:c r="J54" s="129" t="str">
        <x:f>IF(OR(F54="",I54=""),"",I54/F54)</x:f>
      </x:c>
      <x:c r="K54" s="114" t="str"/>
      <x:c r="L54" s="114" t="str"/>
      <x:c r="M54" s="114" t="str"/>
      <x:c r="N54" s="117" t="str">
        <x:v>未判定</x:v>
      </x:c>
    </x:row>
    <x:row r="55" ht="24" customHeight="1">
      <x:c r="A55" s="130" t="str"/>
      <x:c r="B55" s="90" t="str">
        <x:v>共通探索CP</x:v>
      </x:c>
      <x:c r="C55" s="90" t="str">
        <x:v>AG07 事故・稼働復旧</x:v>
      </x:c>
      <x:c r="D55" s="90" t="str">
        <x:v>トラック ミッション 修理代</x:v>
      </x:c>
      <x:c r="E55" s="118" t="str"/>
      <x:c r="F55" s="118" t="str"/>
      <x:c r="G55" s="119" t="str"/>
      <x:c r="H55" s="91" t="str">
        <x:f>IF(OR(F55="",G55=""),"",G55/F55)</x:f>
      </x:c>
      <x:c r="I55" s="118" t="str"/>
      <x:c r="J55" s="131" t="str">
        <x:f>IF(OR(F55="",I55=""),"",I55/F55)</x:f>
      </x:c>
      <x:c r="K55" s="118" t="str"/>
      <x:c r="L55" s="118" t="str"/>
      <x:c r="M55" s="118" t="str"/>
      <x:c r="N55" s="121" t="str">
        <x:v>未判定</x:v>
      </x:c>
    </x:row>
  </x:sheetData>
  <x:mergeCells>
    <x:mergeCell ref="A1:N1"/>
    <x:mergeCell ref="A2:N2"/>
    <x:mergeCell ref="A4:N4"/>
  </x:mergeCells>
  <x:conditionalFormatting sqref="N7:N55">
    <x:cfRule type="containsText" dxfId="3" priority="1" operator="containsText" text="停止"/>
    <x:cfRule type="containsText" dxfId="4" priority="2" operator="containsText" text="継続"/>
  </x:conditionalFormatting>
  <x:dataValidations count="1">
    <x:dataValidation type="list" sqref="N7:N55">
      <x:formula1>"未判定,継続,入札調整,完全一致へ追加,除外追加,停止,LP確認"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4ed2f0c6b54d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28" hidden="0" customWidth="1"/>
    <x:col min="4" max="4" width="16" hidden="0" customWidth="1"/>
    <x:col min="5" max="5" width="35" hidden="0" customWidth="1"/>
    <x:col min="6" max="6" width="11" hidden="0" customWidth="1"/>
    <x:col min="7" max="7" width="10" hidden="0" customWidth="1"/>
    <x:col min="8" max="8" width="18" hidden="0" customWidth="1"/>
    <x:col min="9" max="9" width="20" hidden="0" customWidth="1"/>
    <x:col min="10" max="10" width="40" hidden="0" customWidth="1"/>
  </x:cols>
  <x:sheetData>
    <x:row r="1" ht="30" customHeight="1">
      <x:c r="A1" s="68" t="str">
        <x:v>検索語句・除外KW管理</x:v>
      </x:c>
      <x:c r="B1" s="69"/>
      <x:c r="C1" s="69"/>
      <x:c r="D1" s="69"/>
      <x:c r="E1" s="69"/>
      <x:c r="F1" s="69"/>
      <x:c r="G1" s="69"/>
      <x:c r="H1" s="69"/>
      <x:c r="I1" s="69"/>
      <x:c r="J1" s="69"/>
    </x:row>
    <x:row r="2" ht="22" customHeight="1">
      <x:c r="A2" s="70" t="str">
        <x:v>検索語句は日々追記し、除外は『追加済み / 除外済み=なし』を確認したうえで追加する。</x:v>
      </x:c>
      <x:c r="B2" s="69"/>
      <x:c r="C2" s="69"/>
      <x:c r="D2" s="69"/>
      <x:c r="E2" s="69"/>
      <x:c r="F2" s="69"/>
      <x:c r="G2" s="69"/>
      <x:c r="H2" s="69"/>
      <x:c r="I2" s="69"/>
      <x:c r="J2" s="69"/>
    </x:row>
    <x:row r="3">
      <x:c r="A3" s="69"/>
      <x:c r="B3" s="69"/>
      <x:c r="C3" s="69"/>
      <x:c r="D3" s="69"/>
      <x:c r="E3" s="69"/>
      <x:c r="F3" s="69"/>
      <x:c r="G3" s="69"/>
      <x:c r="H3" s="69"/>
      <x:c r="I3" s="69"/>
      <x:c r="J3" s="69"/>
    </x:row>
    <x:row r="4">
      <x:c r="A4" s="125" t="str">
        <x:v>検索語句ログ（新しい検索語句を下へ追記）</x:v>
      </x:c>
      <x:c r="B4" s="69"/>
      <x:c r="C4" s="69"/>
      <x:c r="D4" s="69"/>
      <x:c r="E4" s="69"/>
      <x:c r="F4" s="69"/>
      <x:c r="G4" s="69"/>
      <x:c r="H4" s="69"/>
      <x:c r="I4" s="69"/>
      <x:c r="J4" s="69"/>
    </x:row>
    <x:row r="5">
      <x:c r="A5" s="69"/>
      <x:c r="B5" s="69"/>
      <x:c r="C5" s="69"/>
      <x:c r="D5" s="69"/>
      <x:c r="E5" s="69"/>
      <x:c r="F5" s="69"/>
      <x:c r="G5" s="69"/>
      <x:c r="H5" s="69"/>
      <x:c r="I5" s="69"/>
      <x:c r="J5" s="69"/>
    </x:row>
    <x:row r="6" ht="30" customHeight="1">
      <x:c r="A6" s="75" t="str">
        <x:v>日付</x:v>
      </x:c>
      <x:c r="B6" s="75" t="str">
        <x:v>広告グループ</x:v>
      </x:c>
      <x:c r="C6" s="75" t="str">
        <x:v>検索語句</x:v>
      </x:c>
      <x:c r="D6" s="75" t="str">
        <x:v>表示</x:v>
      </x:c>
      <x:c r="E6" s="75" t="str">
        <x:v>クリック</x:v>
      </x:c>
      <x:c r="F6" s="75" t="str">
        <x:v>広告費</x:v>
      </x:c>
      <x:c r="G6" s="75" t="str">
        <x:v>MCV</x:v>
      </x:c>
      <x:c r="H6" s="75" t="str">
        <x:v>意図判定</x:v>
      </x:c>
      <x:c r="I6" s="75" t="str">
        <x:v>対応</x:v>
      </x:c>
      <x:c r="J6" s="75" t="str">
        <x:v>根拠・メモ</x:v>
      </x:c>
    </x:row>
    <x:row r="7" ht="24" customHeight="1">
      <x:c r="A7" s="135" t="str"/>
      <x:c r="B7" s="110" t="str"/>
      <x:c r="C7" s="110" t="str"/>
      <x:c r="D7" s="110" t="str"/>
      <x:c r="E7" s="110" t="str"/>
      <x:c r="F7" s="110" t="str"/>
      <x:c r="G7" s="110" t="str"/>
      <x:c r="H7" s="110" t="str">
        <x:v>未判定</x:v>
      </x:c>
      <x:c r="I7" s="110" t="str"/>
      <x:c r="J7" s="113" t="str"/>
    </x:row>
    <x:row r="8" ht="24" customHeight="1">
      <x:c r="A8" s="136" t="str"/>
      <x:c r="B8" s="114" t="str"/>
      <x:c r="C8" s="114" t="str"/>
      <x:c r="D8" s="114" t="str"/>
      <x:c r="E8" s="114" t="str"/>
      <x:c r="F8" s="114" t="str"/>
      <x:c r="G8" s="114" t="str"/>
      <x:c r="H8" s="114" t="str">
        <x:v>未判定</x:v>
      </x:c>
      <x:c r="I8" s="114" t="str"/>
      <x:c r="J8" s="117" t="str"/>
    </x:row>
    <x:row r="9" ht="24" customHeight="1">
      <x:c r="A9" s="136" t="str"/>
      <x:c r="B9" s="114" t="str"/>
      <x:c r="C9" s="114" t="str"/>
      <x:c r="D9" s="114" t="str"/>
      <x:c r="E9" s="114" t="str"/>
      <x:c r="F9" s="114" t="str"/>
      <x:c r="G9" s="114" t="str"/>
      <x:c r="H9" s="114" t="str">
        <x:v>未判定</x:v>
      </x:c>
      <x:c r="I9" s="114" t="str"/>
      <x:c r="J9" s="117" t="str"/>
    </x:row>
    <x:row r="10" ht="24" customHeight="1">
      <x:c r="A10" s="136" t="str"/>
      <x:c r="B10" s="114" t="str"/>
      <x:c r="C10" s="114" t="str"/>
      <x:c r="D10" s="114" t="str"/>
      <x:c r="E10" s="114" t="str"/>
      <x:c r="F10" s="114" t="str"/>
      <x:c r="G10" s="114" t="str"/>
      <x:c r="H10" s="114" t="str">
        <x:v>未判定</x:v>
      </x:c>
      <x:c r="I10" s="114" t="str"/>
      <x:c r="J10" s="117" t="str"/>
    </x:row>
    <x:row r="11" ht="24" customHeight="1">
      <x:c r="A11" s="136" t="str"/>
      <x:c r="B11" s="114" t="str"/>
      <x:c r="C11" s="114" t="str"/>
      <x:c r="D11" s="114" t="str"/>
      <x:c r="E11" s="114" t="str"/>
      <x:c r="F11" s="114" t="str"/>
      <x:c r="G11" s="114" t="str"/>
      <x:c r="H11" s="114" t="str">
        <x:v>未判定</x:v>
      </x:c>
      <x:c r="I11" s="114" t="str"/>
      <x:c r="J11" s="117" t="str"/>
    </x:row>
    <x:row r="12" ht="24" customHeight="1">
      <x:c r="A12" s="136" t="str"/>
      <x:c r="B12" s="114" t="str"/>
      <x:c r="C12" s="114" t="str"/>
      <x:c r="D12" s="114" t="str"/>
      <x:c r="E12" s="114" t="str"/>
      <x:c r="F12" s="114" t="str"/>
      <x:c r="G12" s="114" t="str"/>
      <x:c r="H12" s="114" t="str">
        <x:v>未判定</x:v>
      </x:c>
      <x:c r="I12" s="114" t="str"/>
      <x:c r="J12" s="117" t="str"/>
    </x:row>
    <x:row r="13" ht="24" customHeight="1">
      <x:c r="A13" s="136" t="str"/>
      <x:c r="B13" s="114" t="str"/>
      <x:c r="C13" s="114" t="str"/>
      <x:c r="D13" s="114" t="str"/>
      <x:c r="E13" s="114" t="str"/>
      <x:c r="F13" s="114" t="str"/>
      <x:c r="G13" s="114" t="str"/>
      <x:c r="H13" s="114" t="str">
        <x:v>未判定</x:v>
      </x:c>
      <x:c r="I13" s="114" t="str"/>
      <x:c r="J13" s="117" t="str"/>
    </x:row>
    <x:row r="14" ht="24" customHeight="1">
      <x:c r="A14" s="136" t="str"/>
      <x:c r="B14" s="114" t="str"/>
      <x:c r="C14" s="114" t="str"/>
      <x:c r="D14" s="114" t="str"/>
      <x:c r="E14" s="114" t="str"/>
      <x:c r="F14" s="114" t="str"/>
      <x:c r="G14" s="114" t="str"/>
      <x:c r="H14" s="114" t="str">
        <x:v>未判定</x:v>
      </x:c>
      <x:c r="I14" s="114" t="str"/>
      <x:c r="J14" s="117" t="str"/>
    </x:row>
    <x:row r="15" ht="24" customHeight="1">
      <x:c r="A15" s="136" t="str"/>
      <x:c r="B15" s="114" t="str"/>
      <x:c r="C15" s="114" t="str"/>
      <x:c r="D15" s="114" t="str"/>
      <x:c r="E15" s="114" t="str"/>
      <x:c r="F15" s="114" t="str"/>
      <x:c r="G15" s="114" t="str"/>
      <x:c r="H15" s="114" t="str">
        <x:v>未判定</x:v>
      </x:c>
      <x:c r="I15" s="114" t="str"/>
      <x:c r="J15" s="117" t="str"/>
    </x:row>
    <x:row r="16" ht="24" customHeight="1">
      <x:c r="A16" s="136" t="str"/>
      <x:c r="B16" s="114" t="str"/>
      <x:c r="C16" s="114" t="str"/>
      <x:c r="D16" s="114" t="str"/>
      <x:c r="E16" s="114" t="str"/>
      <x:c r="F16" s="114" t="str"/>
      <x:c r="G16" s="114" t="str"/>
      <x:c r="H16" s="114" t="str">
        <x:v>未判定</x:v>
      </x:c>
      <x:c r="I16" s="114" t="str"/>
      <x:c r="J16" s="117" t="str"/>
    </x:row>
    <x:row r="17" ht="24" customHeight="1">
      <x:c r="A17" s="136" t="str"/>
      <x:c r="B17" s="114" t="str"/>
      <x:c r="C17" s="114" t="str"/>
      <x:c r="D17" s="114" t="str"/>
      <x:c r="E17" s="114" t="str"/>
      <x:c r="F17" s="114" t="str"/>
      <x:c r="G17" s="114" t="str"/>
      <x:c r="H17" s="114" t="str">
        <x:v>未判定</x:v>
      </x:c>
      <x:c r="I17" s="114" t="str"/>
      <x:c r="J17" s="117" t="str"/>
    </x:row>
    <x:row r="18" ht="24" customHeight="1">
      <x:c r="A18" s="136" t="str"/>
      <x:c r="B18" s="114" t="str"/>
      <x:c r="C18" s="114" t="str"/>
      <x:c r="D18" s="114" t="str"/>
      <x:c r="E18" s="114" t="str"/>
      <x:c r="F18" s="114" t="str"/>
      <x:c r="G18" s="114" t="str"/>
      <x:c r="H18" s="114" t="str">
        <x:v>未判定</x:v>
      </x:c>
      <x:c r="I18" s="114" t="str"/>
      <x:c r="J18" s="117" t="str"/>
    </x:row>
    <x:row r="19" ht="24" customHeight="1">
      <x:c r="A19" s="136" t="str"/>
      <x:c r="B19" s="114" t="str"/>
      <x:c r="C19" s="114" t="str"/>
      <x:c r="D19" s="114" t="str"/>
      <x:c r="E19" s="114" t="str"/>
      <x:c r="F19" s="114" t="str"/>
      <x:c r="G19" s="114" t="str"/>
      <x:c r="H19" s="114" t="str">
        <x:v>未判定</x:v>
      </x:c>
      <x:c r="I19" s="114" t="str"/>
      <x:c r="J19" s="117" t="str"/>
    </x:row>
    <x:row r="20" ht="24" customHeight="1">
      <x:c r="A20" s="136" t="str"/>
      <x:c r="B20" s="114" t="str"/>
      <x:c r="C20" s="114" t="str"/>
      <x:c r="D20" s="114" t="str"/>
      <x:c r="E20" s="114" t="str"/>
      <x:c r="F20" s="114" t="str"/>
      <x:c r="G20" s="114" t="str"/>
      <x:c r="H20" s="114" t="str">
        <x:v>未判定</x:v>
      </x:c>
      <x:c r="I20" s="114" t="str"/>
      <x:c r="J20" s="117" t="str"/>
    </x:row>
    <x:row r="21" ht="24" customHeight="1">
      <x:c r="A21" s="136" t="str"/>
      <x:c r="B21" s="114" t="str"/>
      <x:c r="C21" s="114" t="str"/>
      <x:c r="D21" s="114" t="str"/>
      <x:c r="E21" s="114" t="str"/>
      <x:c r="F21" s="114" t="str"/>
      <x:c r="G21" s="114" t="str"/>
      <x:c r="H21" s="114" t="str">
        <x:v>未判定</x:v>
      </x:c>
      <x:c r="I21" s="114" t="str"/>
      <x:c r="J21" s="117" t="str"/>
    </x:row>
    <x:row r="22" ht="24" customHeight="1">
      <x:c r="A22" s="136" t="str"/>
      <x:c r="B22" s="114" t="str"/>
      <x:c r="C22" s="114" t="str"/>
      <x:c r="D22" s="114" t="str"/>
      <x:c r="E22" s="114" t="str"/>
      <x:c r="F22" s="114" t="str"/>
      <x:c r="G22" s="114" t="str"/>
      <x:c r="H22" s="114" t="str">
        <x:v>未判定</x:v>
      </x:c>
      <x:c r="I22" s="114" t="str"/>
      <x:c r="J22" s="117" t="str"/>
    </x:row>
    <x:row r="23" ht="24" customHeight="1">
      <x:c r="A23" s="136" t="str"/>
      <x:c r="B23" s="114" t="str"/>
      <x:c r="C23" s="114" t="str"/>
      <x:c r="D23" s="114" t="str"/>
      <x:c r="E23" s="114" t="str"/>
      <x:c r="F23" s="114" t="str"/>
      <x:c r="G23" s="114" t="str"/>
      <x:c r="H23" s="114" t="str">
        <x:v>未判定</x:v>
      </x:c>
      <x:c r="I23" s="114" t="str"/>
      <x:c r="J23" s="117" t="str"/>
    </x:row>
    <x:row r="24" ht="24" customHeight="1">
      <x:c r="A24" s="136" t="str"/>
      <x:c r="B24" s="114" t="str"/>
      <x:c r="C24" s="114" t="str"/>
      <x:c r="D24" s="114" t="str"/>
      <x:c r="E24" s="114" t="str"/>
      <x:c r="F24" s="114" t="str"/>
      <x:c r="G24" s="114" t="str"/>
      <x:c r="H24" s="114" t="str">
        <x:v>未判定</x:v>
      </x:c>
      <x:c r="I24" s="114" t="str"/>
      <x:c r="J24" s="117" t="str"/>
    </x:row>
    <x:row r="25" ht="24" customHeight="1">
      <x:c r="A25" s="136" t="str"/>
      <x:c r="B25" s="114" t="str"/>
      <x:c r="C25" s="114" t="str"/>
      <x:c r="D25" s="114" t="str"/>
      <x:c r="E25" s="114" t="str"/>
      <x:c r="F25" s="114" t="str"/>
      <x:c r="G25" s="114" t="str"/>
      <x:c r="H25" s="114" t="str">
        <x:v>未判定</x:v>
      </x:c>
      <x:c r="I25" s="114" t="str"/>
      <x:c r="J25" s="117" t="str"/>
    </x:row>
    <x:row r="26" ht="24" customHeight="1">
      <x:c r="A26" s="136" t="str"/>
      <x:c r="B26" s="114" t="str"/>
      <x:c r="C26" s="114" t="str"/>
      <x:c r="D26" s="114" t="str"/>
      <x:c r="E26" s="114" t="str"/>
      <x:c r="F26" s="114" t="str"/>
      <x:c r="G26" s="114" t="str"/>
      <x:c r="H26" s="114" t="str">
        <x:v>未判定</x:v>
      </x:c>
      <x:c r="I26" s="114" t="str"/>
      <x:c r="J26" s="117" t="str"/>
    </x:row>
    <x:row r="27" ht="24" customHeight="1">
      <x:c r="A27" s="136" t="str"/>
      <x:c r="B27" s="114" t="str"/>
      <x:c r="C27" s="114" t="str"/>
      <x:c r="D27" s="114" t="str"/>
      <x:c r="E27" s="114" t="str"/>
      <x:c r="F27" s="114" t="str"/>
      <x:c r="G27" s="114" t="str"/>
      <x:c r="H27" s="114" t="str">
        <x:v>未判定</x:v>
      </x:c>
      <x:c r="I27" s="114" t="str"/>
      <x:c r="J27" s="117" t="str"/>
    </x:row>
    <x:row r="28" ht="24" customHeight="1">
      <x:c r="A28" s="136" t="str"/>
      <x:c r="B28" s="114" t="str"/>
      <x:c r="C28" s="114" t="str"/>
      <x:c r="D28" s="114" t="str"/>
      <x:c r="E28" s="114" t="str"/>
      <x:c r="F28" s="114" t="str"/>
      <x:c r="G28" s="114" t="str"/>
      <x:c r="H28" s="114" t="str">
        <x:v>未判定</x:v>
      </x:c>
      <x:c r="I28" s="114" t="str"/>
      <x:c r="J28" s="117" t="str"/>
    </x:row>
    <x:row r="29" ht="24" customHeight="1">
      <x:c r="A29" s="136" t="str"/>
      <x:c r="B29" s="114" t="str"/>
      <x:c r="C29" s="114" t="str"/>
      <x:c r="D29" s="114" t="str"/>
      <x:c r="E29" s="114" t="str"/>
      <x:c r="F29" s="114" t="str"/>
      <x:c r="G29" s="114" t="str"/>
      <x:c r="H29" s="114" t="str">
        <x:v>未判定</x:v>
      </x:c>
      <x:c r="I29" s="114" t="str"/>
      <x:c r="J29" s="117" t="str"/>
    </x:row>
    <x:row r="30" ht="24" customHeight="1">
      <x:c r="A30" s="136" t="str"/>
      <x:c r="B30" s="114" t="str"/>
      <x:c r="C30" s="114" t="str"/>
      <x:c r="D30" s="114" t="str"/>
      <x:c r="E30" s="114" t="str"/>
      <x:c r="F30" s="114" t="str"/>
      <x:c r="G30" s="114" t="str"/>
      <x:c r="H30" s="114" t="str">
        <x:v>未判定</x:v>
      </x:c>
      <x:c r="I30" s="114" t="str"/>
      <x:c r="J30" s="117" t="str"/>
    </x:row>
    <x:row r="31" ht="24" customHeight="1">
      <x:c r="A31" s="136" t="str"/>
      <x:c r="B31" s="114" t="str"/>
      <x:c r="C31" s="114" t="str"/>
      <x:c r="D31" s="114" t="str"/>
      <x:c r="E31" s="114" t="str"/>
      <x:c r="F31" s="114" t="str"/>
      <x:c r="G31" s="114" t="str"/>
      <x:c r="H31" s="114" t="str">
        <x:v>未判定</x:v>
      </x:c>
      <x:c r="I31" s="114" t="str"/>
      <x:c r="J31" s="117" t="str"/>
    </x:row>
    <x:row r="32" ht="24" customHeight="1">
      <x:c r="A32" s="136" t="str"/>
      <x:c r="B32" s="114" t="str"/>
      <x:c r="C32" s="114" t="str"/>
      <x:c r="D32" s="114" t="str"/>
      <x:c r="E32" s="114" t="str"/>
      <x:c r="F32" s="114" t="str"/>
      <x:c r="G32" s="114" t="str"/>
      <x:c r="H32" s="114" t="str">
        <x:v>未判定</x:v>
      </x:c>
      <x:c r="I32" s="114" t="str"/>
      <x:c r="J32" s="117" t="str"/>
    </x:row>
    <x:row r="33" ht="24" customHeight="1">
      <x:c r="A33" s="136" t="str"/>
      <x:c r="B33" s="114" t="str"/>
      <x:c r="C33" s="114" t="str"/>
      <x:c r="D33" s="114" t="str"/>
      <x:c r="E33" s="114" t="str"/>
      <x:c r="F33" s="114" t="str"/>
      <x:c r="G33" s="114" t="str"/>
      <x:c r="H33" s="114" t="str">
        <x:v>未判定</x:v>
      </x:c>
      <x:c r="I33" s="114" t="str"/>
      <x:c r="J33" s="117" t="str"/>
    </x:row>
    <x:row r="34" ht="24" customHeight="1">
      <x:c r="A34" s="136" t="str"/>
      <x:c r="B34" s="114" t="str"/>
      <x:c r="C34" s="114" t="str"/>
      <x:c r="D34" s="114" t="str"/>
      <x:c r="E34" s="114" t="str"/>
      <x:c r="F34" s="114" t="str"/>
      <x:c r="G34" s="114" t="str"/>
      <x:c r="H34" s="114" t="str">
        <x:v>未判定</x:v>
      </x:c>
      <x:c r="I34" s="114" t="str"/>
      <x:c r="J34" s="117" t="str"/>
    </x:row>
    <x:row r="35" ht="24" customHeight="1">
      <x:c r="A35" s="136" t="str"/>
      <x:c r="B35" s="114" t="str"/>
      <x:c r="C35" s="114" t="str"/>
      <x:c r="D35" s="114" t="str"/>
      <x:c r="E35" s="114" t="str"/>
      <x:c r="F35" s="114" t="str"/>
      <x:c r="G35" s="114" t="str"/>
      <x:c r="H35" s="114" t="str">
        <x:v>未判定</x:v>
      </x:c>
      <x:c r="I35" s="114" t="str"/>
      <x:c r="J35" s="117" t="str"/>
    </x:row>
    <x:row r="36" ht="24" customHeight="1">
      <x:c r="A36" s="137" t="str"/>
      <x:c r="B36" s="118" t="str"/>
      <x:c r="C36" s="118" t="str"/>
      <x:c r="D36" s="118" t="str"/>
      <x:c r="E36" s="118" t="str"/>
      <x:c r="F36" s="118" t="str"/>
      <x:c r="G36" s="118" t="str"/>
      <x:c r="H36" s="118" t="str">
        <x:v>未判定</x:v>
      </x:c>
      <x:c r="I36" s="118" t="str"/>
      <x:c r="J36" s="121" t="str"/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</x:row>
    <x:row r="39">
      <x:c r="A39" s="82" t="str">
        <x:v>キャンペーン除外KW（既存19件 + 今回追加17件）</x:v>
      </x:c>
      <x:c r="B39" s="69"/>
      <x:c r="C39" s="69"/>
      <x:c r="D39" s="69"/>
      <x:c r="E39" s="69"/>
      <x:c r="F39" s="69"/>
      <x:c r="G39" s="69"/>
      <x:c r="H39" s="69"/>
      <x:c r="I39" s="69"/>
      <x:c r="J39" s="69"/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</x:row>
    <x:row r="41" ht="30" customHeight="1">
      <x:c r="A41" s="75" t="str">
        <x:v>区分</x:v>
      </x:c>
      <x:c r="B41" s="75" t="str">
        <x:v>除外KW</x:v>
      </x:c>
      <x:c r="C41" s="75" t="str">
        <x:v>マッチタイプ</x:v>
      </x:c>
      <x:c r="D41" s="75" t="str">
        <x:v>状態</x:v>
      </x:c>
      <x:c r="E41" s="75" t="str">
        <x:v>理由</x:v>
      </x:c>
      <x:c r="F41" s="69"/>
      <x:c r="G41" s="69"/>
      <x:c r="H41" s="69"/>
      <x:c r="I41" s="69"/>
      <x:c r="J41" s="69"/>
    </x:row>
    <x:row r="42">
      <x:c r="A42" s="83" t="str">
        <x:v>既存</x:v>
      </x:c>
      <x:c r="B42" s="84" t="str">
        <x:v>アクトウィル</x:v>
      </x:c>
      <x:c r="C42" s="84" t="str">
        <x:v>Campaign Negative Exact</x:v>
      </x:c>
      <x:c r="D42" s="84" t="str">
        <x:v>Enabled</x:v>
      </x:c>
      <x:c r="E42" s="86" t="str">
        <x:v>初期GAEに登録</x:v>
      </x:c>
      <x:c r="F42" s="69"/>
      <x:c r="G42" s="69"/>
      <x:c r="H42" s="69"/>
      <x:c r="I42" s="69"/>
      <x:c r="J42" s="69"/>
    </x:row>
    <x:row r="43">
      <x:c r="A43" s="87" t="str">
        <x:v>既存</x:v>
      </x:c>
      <x:c r="B43" s="74" t="str">
        <x:v>アクト ウィル</x:v>
      </x:c>
      <x:c r="C43" s="74" t="str">
        <x:v>Campaign Negative Exact</x:v>
      </x:c>
      <x:c r="D43" s="74" t="str">
        <x:v>Enabled</x:v>
      </x:c>
      <x:c r="E43" s="88" t="str">
        <x:v>初期GAEに登録</x:v>
      </x:c>
      <x:c r="F43" s="69"/>
      <x:c r="G43" s="69"/>
      <x:c r="H43" s="69"/>
      <x:c r="I43" s="69"/>
      <x:c r="J43" s="69"/>
    </x:row>
    <x:row r="44">
      <x:c r="A44" s="87" t="str">
        <x:v>既存</x:v>
      </x:c>
      <x:c r="B44" s="74" t="str">
        <x:v>actwill</x:v>
      </x:c>
      <x:c r="C44" s="74" t="str">
        <x:v>Campaign Negative Exact</x:v>
      </x:c>
      <x:c r="D44" s="74" t="str">
        <x:v>Enabled</x:v>
      </x:c>
      <x:c r="E44" s="88" t="str">
        <x:v>初期GAEに登録</x:v>
      </x:c>
      <x:c r="F44" s="69"/>
      <x:c r="G44" s="69"/>
      <x:c r="H44" s="69"/>
      <x:c r="I44" s="69"/>
      <x:c r="J44" s="69"/>
    </x:row>
    <x:row r="45">
      <x:c r="A45" s="87" t="str">
        <x:v>既存</x:v>
      </x:c>
      <x:c r="B45" s="74" t="str">
        <x:v>act will</x:v>
      </x:c>
      <x:c r="C45" s="74" t="str">
        <x:v>Campaign Negative Exact</x:v>
      </x:c>
      <x:c r="D45" s="74" t="str">
        <x:v>Enabled</x:v>
      </x:c>
      <x:c r="E45" s="88" t="str">
        <x:v>初期GAEに登録</x:v>
      </x:c>
      <x:c r="F45" s="69"/>
      <x:c r="G45" s="69"/>
      <x:c r="H45" s="69"/>
      <x:c r="I45" s="69"/>
      <x:c r="J45" s="69"/>
    </x:row>
    <x:row r="46">
      <x:c r="A46" s="87" t="str">
        <x:v>既存</x:v>
      </x:c>
      <x:c r="B46" s="74" t="str">
        <x:v>個人</x:v>
      </x:c>
      <x:c r="C46" s="74" t="str">
        <x:v>Campaign Negative Phrase</x:v>
      </x:c>
      <x:c r="D46" s="74" t="str">
        <x:v>Enabled</x:v>
      </x:c>
      <x:c r="E46" s="88" t="str">
        <x:v>初期GAEに登録</x:v>
      </x:c>
      <x:c r="F46" s="69"/>
      <x:c r="G46" s="69"/>
      <x:c r="H46" s="69"/>
      <x:c r="I46" s="69"/>
      <x:c r="J46" s="69"/>
    </x:row>
    <x:row r="47">
      <x:c r="A47" s="87" t="str">
        <x:v>既存</x:v>
      </x:c>
      <x:c r="B47" s="74" t="str">
        <x:v>個人事業主</x:v>
      </x:c>
      <x:c r="C47" s="74" t="str">
        <x:v>Campaign Negative Phrase</x:v>
      </x:c>
      <x:c r="D47" s="74" t="str">
        <x:v>Enabled</x:v>
      </x:c>
      <x:c r="E47" s="88" t="str">
        <x:v>初期GAEに登録</x:v>
      </x:c>
      <x:c r="F47" s="69"/>
      <x:c r="G47" s="69"/>
      <x:c r="H47" s="69"/>
      <x:c r="I47" s="69"/>
      <x:c r="J47" s="69"/>
    </x:row>
    <x:row r="48">
      <x:c r="A48" s="87" t="str">
        <x:v>既存</x:v>
      </x:c>
      <x:c r="B48" s="74" t="str">
        <x:v>フリーランス</x:v>
      </x:c>
      <x:c r="C48" s="74" t="str">
        <x:v>Campaign Negative Phrase</x:v>
      </x:c>
      <x:c r="D48" s="74" t="str">
        <x:v>Enabled</x:v>
      </x:c>
      <x:c r="E48" s="88" t="str">
        <x:v>初期GAEに登録</x:v>
      </x:c>
      <x:c r="F48" s="69"/>
      <x:c r="G48" s="69"/>
      <x:c r="H48" s="69"/>
      <x:c r="I48" s="69"/>
      <x:c r="J48" s="69"/>
    </x:row>
    <x:row r="49">
      <x:c r="A49" s="87" t="str">
        <x:v>既存</x:v>
      </x:c>
      <x:c r="B49" s="74" t="str">
        <x:v>軽貨物 個人</x:v>
      </x:c>
      <x:c r="C49" s="74" t="str">
        <x:v>Campaign Negative Phrase</x:v>
      </x:c>
      <x:c r="D49" s="74" t="str">
        <x:v>Enabled</x:v>
      </x:c>
      <x:c r="E49" s="88" t="str">
        <x:v>初期GAEに登録</x:v>
      </x:c>
      <x:c r="F49" s="69"/>
      <x:c r="G49" s="69"/>
      <x:c r="H49" s="69"/>
      <x:c r="I49" s="69"/>
      <x:c r="J49" s="69"/>
    </x:row>
    <x:row r="50">
      <x:c r="A50" s="87" t="str">
        <x:v>既存</x:v>
      </x:c>
      <x:c r="B50" s="74" t="str">
        <x:v>車検</x:v>
      </x:c>
      <x:c r="C50" s="74" t="str">
        <x:v>Campaign Negative Phrase</x:v>
      </x:c>
      <x:c r="D50" s="74" t="str">
        <x:v>Enabled</x:v>
      </x:c>
      <x:c r="E50" s="88" t="str">
        <x:v>初期GAEに登録</x:v>
      </x:c>
      <x:c r="F50" s="69"/>
      <x:c r="G50" s="69"/>
      <x:c r="H50" s="69"/>
      <x:c r="I50" s="69"/>
      <x:c r="J50" s="69"/>
    </x:row>
    <x:row r="51">
      <x:c r="A51" s="87" t="str">
        <x:v>既存</x:v>
      </x:c>
      <x:c r="B51" s="74" t="str">
        <x:v>車検費用</x:v>
      </x:c>
      <x:c r="C51" s="74" t="str">
        <x:v>Campaign Negative Phrase</x:v>
      </x:c>
      <x:c r="D51" s="74" t="str">
        <x:v>Enabled</x:v>
      </x:c>
      <x:c r="E51" s="88" t="str">
        <x:v>初期GAEに登録</x:v>
      </x:c>
      <x:c r="F51" s="69"/>
      <x:c r="G51" s="69"/>
      <x:c r="H51" s="69"/>
      <x:c r="I51" s="69"/>
      <x:c r="J51" s="69"/>
    </x:row>
    <x:row r="52">
      <x:c r="A52" s="87" t="str">
        <x:v>既存</x:v>
      </x:c>
      <x:c r="B52" s="74" t="str">
        <x:v>車検代</x:v>
      </x:c>
      <x:c r="C52" s="74" t="str">
        <x:v>Campaign Negative Phrase</x:v>
      </x:c>
      <x:c r="D52" s="74" t="str">
        <x:v>Enabled</x:v>
      </x:c>
      <x:c r="E52" s="88" t="str">
        <x:v>初期GAEに登録</x:v>
      </x:c>
      <x:c r="F52" s="69"/>
      <x:c r="G52" s="69"/>
      <x:c r="H52" s="69"/>
      <x:c r="I52" s="69"/>
      <x:c r="J52" s="69"/>
    </x:row>
    <x:row r="53">
      <x:c r="A53" s="87" t="str">
        <x:v>既存</x:v>
      </x:c>
      <x:c r="B53" s="74" t="str">
        <x:v>車検相場</x:v>
      </x:c>
      <x:c r="C53" s="74" t="str">
        <x:v>Campaign Negative Phrase</x:v>
      </x:c>
      <x:c r="D53" s="74" t="str">
        <x:v>Enabled</x:v>
      </x:c>
      <x:c r="E53" s="88" t="str">
        <x:v>初期GAEに登録</x:v>
      </x:c>
      <x:c r="F53" s="69"/>
      <x:c r="G53" s="69"/>
      <x:c r="H53" s="69"/>
      <x:c r="I53" s="69"/>
      <x:c r="J53" s="69"/>
    </x:row>
    <x:row r="54">
      <x:c r="A54" s="87" t="str">
        <x:v>既存</x:v>
      </x:c>
      <x:c r="B54" s="74" t="str">
        <x:v>法定費用</x:v>
      </x:c>
      <x:c r="C54" s="74" t="str">
        <x:v>Campaign Negative Phrase</x:v>
      </x:c>
      <x:c r="D54" s="74" t="str">
        <x:v>Enabled</x:v>
      </x:c>
      <x:c r="E54" s="88" t="str">
        <x:v>初期GAEに登録</x:v>
      </x:c>
      <x:c r="F54" s="69"/>
      <x:c r="G54" s="69"/>
      <x:c r="H54" s="69"/>
      <x:c r="I54" s="69"/>
      <x:c r="J54" s="69"/>
    </x:row>
    <x:row r="55">
      <x:c r="A55" s="87" t="str">
        <x:v>既存</x:v>
      </x:c>
      <x:c r="B55" s="74" t="str">
        <x:v>自賠責</x:v>
      </x:c>
      <x:c r="C55" s="74" t="str">
        <x:v>Campaign Negative Phrase</x:v>
      </x:c>
      <x:c r="D55" s="74" t="str">
        <x:v>Enabled</x:v>
      </x:c>
      <x:c r="E55" s="88" t="str">
        <x:v>初期GAEに登録</x:v>
      </x:c>
      <x:c r="F55" s="69"/>
      <x:c r="G55" s="69"/>
      <x:c r="H55" s="69"/>
      <x:c r="I55" s="69"/>
      <x:c r="J55" s="69"/>
    </x:row>
    <x:row r="56">
      <x:c r="A56" s="87" t="str">
        <x:v>既存</x:v>
      </x:c>
      <x:c r="B56" s="74" t="str">
        <x:v>重量税</x:v>
      </x:c>
      <x:c r="C56" s="74" t="str">
        <x:v>Campaign Negative Phrase</x:v>
      </x:c>
      <x:c r="D56" s="74" t="str">
        <x:v>Enabled</x:v>
      </x:c>
      <x:c r="E56" s="88" t="str">
        <x:v>初期GAEに登録</x:v>
      </x:c>
      <x:c r="F56" s="69"/>
      <x:c r="G56" s="69"/>
      <x:c r="H56" s="69"/>
      <x:c r="I56" s="69"/>
      <x:c r="J56" s="69"/>
    </x:row>
    <x:row r="57">
      <x:c r="A57" s="87" t="str">
        <x:v>既存</x:v>
      </x:c>
      <x:c r="B57" s="74" t="str">
        <x:v>補助金</x:v>
      </x:c>
      <x:c r="C57" s="74" t="str">
        <x:v>Campaign Negative Phrase</x:v>
      </x:c>
      <x:c r="D57" s="74" t="str">
        <x:v>Enabled</x:v>
      </x:c>
      <x:c r="E57" s="88" t="str">
        <x:v>初期GAEに登録</x:v>
      </x:c>
      <x:c r="F57" s="69"/>
      <x:c r="G57" s="69"/>
      <x:c r="H57" s="69"/>
      <x:c r="I57" s="69"/>
      <x:c r="J57" s="69"/>
    </x:row>
    <x:row r="58">
      <x:c r="A58" s="87" t="str">
        <x:v>既存</x:v>
      </x:c>
      <x:c r="B58" s="74" t="str">
        <x:v>助成金</x:v>
      </x:c>
      <x:c r="C58" s="74" t="str">
        <x:v>Campaign Negative Phrase</x:v>
      </x:c>
      <x:c r="D58" s="74" t="str">
        <x:v>Enabled</x:v>
      </x:c>
      <x:c r="E58" s="88" t="str">
        <x:v>初期GAEに登録</x:v>
      </x:c>
      <x:c r="F58" s="69"/>
      <x:c r="G58" s="69"/>
      <x:c r="H58" s="69"/>
      <x:c r="I58" s="69"/>
      <x:c r="J58" s="69"/>
    </x:row>
    <x:row r="59">
      <x:c r="A59" s="87" t="str">
        <x:v>既存</x:v>
      </x:c>
      <x:c r="B59" s="74" t="str">
        <x:v>給付金</x:v>
      </x:c>
      <x:c r="C59" s="74" t="str">
        <x:v>Campaign Negative Phrase</x:v>
      </x:c>
      <x:c r="D59" s="74" t="str">
        <x:v>Enabled</x:v>
      </x:c>
      <x:c r="E59" s="88" t="str">
        <x:v>初期GAEに登録</x:v>
      </x:c>
      <x:c r="F59" s="69"/>
      <x:c r="G59" s="69"/>
      <x:c r="H59" s="69"/>
      <x:c r="I59" s="69"/>
      <x:c r="J59" s="69"/>
    </x:row>
    <x:row r="60">
      <x:c r="A60" s="87" t="str">
        <x:v>既存</x:v>
      </x:c>
      <x:c r="B60" s="74" t="str">
        <x:v>ファクタリング</x:v>
      </x:c>
      <x:c r="C60" s="74" t="str">
        <x:v>Campaign Negative Phrase</x:v>
      </x:c>
      <x:c r="D60" s="74" t="str">
        <x:v>Enabled</x:v>
      </x:c>
      <x:c r="E60" s="88" t="str">
        <x:v>初期GAEに登録</x:v>
      </x:c>
      <x:c r="F60" s="69"/>
      <x:c r="G60" s="69"/>
      <x:c r="H60" s="69"/>
      <x:c r="I60" s="69"/>
      <x:c r="J60" s="69"/>
    </x:row>
    <x:row r="61">
      <x:c r="A61" s="87" t="str">
        <x:v>今回追加</x:v>
      </x:c>
      <x:c r="B61" s="74" t="str">
        <x:v>とは</x:v>
      </x:c>
      <x:c r="C61" s="74" t="str">
        <x:v>Campaign Negative Phrase</x:v>
      </x:c>
      <x:c r="D61" s="74" t="str">
        <x:v>Enabled</x:v>
      </x:c>
      <x:c r="E61" s="88" t="str">
        <x:v>資金イベントAGの検索語句対策</x:v>
      </x:c>
      <x:c r="F61" s="69"/>
      <x:c r="G61" s="69"/>
      <x:c r="H61" s="69"/>
      <x:c r="I61" s="69"/>
      <x:c r="J61" s="69"/>
    </x:row>
    <x:row r="62">
      <x:c r="A62" s="87" t="str">
        <x:v>今回追加</x:v>
      </x:c>
      <x:c r="B62" s="74" t="str">
        <x:v>意味</x:v>
      </x:c>
      <x:c r="C62" s="74" t="str">
        <x:v>Campaign Negative Phrase</x:v>
      </x:c>
      <x:c r="D62" s="74" t="str">
        <x:v>Enabled</x:v>
      </x:c>
      <x:c r="E62" s="88" t="str">
        <x:v>資金イベントAGの検索語句対策</x:v>
      </x:c>
      <x:c r="F62" s="69"/>
      <x:c r="G62" s="69"/>
      <x:c r="H62" s="69"/>
      <x:c r="I62" s="69"/>
      <x:c r="J62" s="69"/>
    </x:row>
    <x:row r="63">
      <x:c r="A63" s="87" t="str">
        <x:v>今回追加</x:v>
      </x:c>
      <x:c r="B63" s="74" t="str">
        <x:v>求人</x:v>
      </x:c>
      <x:c r="C63" s="74" t="str">
        <x:v>Campaign Negative Phrase</x:v>
      </x:c>
      <x:c r="D63" s="74" t="str">
        <x:v>Enabled</x:v>
      </x:c>
      <x:c r="E63" s="88" t="str">
        <x:v>資金イベントAGの検索語句対策</x:v>
      </x:c>
      <x:c r="F63" s="69"/>
      <x:c r="G63" s="69"/>
      <x:c r="H63" s="69"/>
      <x:c r="I63" s="69"/>
      <x:c r="J63" s="69"/>
    </x:row>
    <x:row r="64">
      <x:c r="A64" s="87" t="str">
        <x:v>今回追加</x:v>
      </x:c>
      <x:c r="B64" s="74" t="str">
        <x:v>採用</x:v>
      </x:c>
      <x:c r="C64" s="74" t="str">
        <x:v>Campaign Negative Phrase</x:v>
      </x:c>
      <x:c r="D64" s="74" t="str">
        <x:v>Enabled</x:v>
      </x:c>
      <x:c r="E64" s="88" t="str">
        <x:v>資金イベントAGの検索語句対策</x:v>
      </x:c>
      <x:c r="F64" s="69"/>
      <x:c r="G64" s="69"/>
      <x:c r="H64" s="69"/>
      <x:c r="I64" s="69"/>
      <x:c r="J64" s="69"/>
    </x:row>
    <x:row r="65">
      <x:c r="A65" s="87" t="str">
        <x:v>今回追加</x:v>
      </x:c>
      <x:c r="B65" s="74" t="str">
        <x:v>修理工場</x:v>
      </x:c>
      <x:c r="C65" s="74" t="str">
        <x:v>Campaign Negative Phrase</x:v>
      </x:c>
      <x:c r="D65" s="74" t="str">
        <x:v>Enabled</x:v>
      </x:c>
      <x:c r="E65" s="88" t="str">
        <x:v>資金イベントAGの検索語句対策</x:v>
      </x:c>
      <x:c r="F65" s="69"/>
      <x:c r="G65" s="69"/>
      <x:c r="H65" s="69"/>
      <x:c r="I65" s="69"/>
      <x:c r="J65" s="69"/>
    </x:row>
    <x:row r="66">
      <x:c r="A66" s="87" t="str">
        <x:v>今回追加</x:v>
      </x:c>
      <x:c r="B66" s="74" t="str">
        <x:v>出張</x:v>
      </x:c>
      <x:c r="C66" s="74" t="str">
        <x:v>Campaign Negative Phrase</x:v>
      </x:c>
      <x:c r="D66" s="74" t="str">
        <x:v>Enabled</x:v>
      </x:c>
      <x:c r="E66" s="88" t="str">
        <x:v>資金イベントAGの検索語句対策</x:v>
      </x:c>
      <x:c r="F66" s="69"/>
      <x:c r="G66" s="69"/>
      <x:c r="H66" s="69"/>
      <x:c r="I66" s="69"/>
      <x:c r="J66" s="69"/>
    </x:row>
    <x:row r="67">
      <x:c r="A67" s="87" t="str">
        <x:v>今回追加</x:v>
      </x:c>
      <x:c r="B67" s="74" t="str">
        <x:v>近く</x:v>
      </x:c>
      <x:c r="C67" s="74" t="str">
        <x:v>Campaign Negative Phrase</x:v>
      </x:c>
      <x:c r="D67" s="74" t="str">
        <x:v>Enabled</x:v>
      </x:c>
      <x:c r="E67" s="88" t="str">
        <x:v>資金イベントAGの検索語句対策</x:v>
      </x:c>
      <x:c r="F67" s="69"/>
      <x:c r="G67" s="69"/>
      <x:c r="H67" s="69"/>
      <x:c r="I67" s="69"/>
      <x:c r="J67" s="69"/>
    </x:row>
    <x:row r="68">
      <x:c r="A68" s="87" t="str">
        <x:v>今回追加</x:v>
      </x:c>
      <x:c r="B68" s="74" t="str">
        <x:v>工賃</x:v>
      </x:c>
      <x:c r="C68" s="74" t="str">
        <x:v>Campaign Negative Phrase</x:v>
      </x:c>
      <x:c r="D68" s="74" t="str">
        <x:v>Enabled</x:v>
      </x:c>
      <x:c r="E68" s="88" t="str">
        <x:v>資金イベントAGの検索語句対策</x:v>
      </x:c>
      <x:c r="F68" s="69"/>
      <x:c r="G68" s="69"/>
      <x:c r="H68" s="69"/>
      <x:c r="I68" s="69"/>
      <x:c r="J68" s="69"/>
    </x:row>
    <x:row r="69">
      <x:c r="A69" s="87" t="str">
        <x:v>今回追加</x:v>
      </x:c>
      <x:c r="B69" s="74" t="str">
        <x:v>持ち込み</x:v>
      </x:c>
      <x:c r="C69" s="74" t="str">
        <x:v>Campaign Negative Phrase</x:v>
      </x:c>
      <x:c r="D69" s="74" t="str">
        <x:v>Enabled</x:v>
      </x:c>
      <x:c r="E69" s="88" t="str">
        <x:v>資金イベントAGの検索語句対策</x:v>
      </x:c>
      <x:c r="F69" s="69"/>
      <x:c r="G69" s="69"/>
      <x:c r="H69" s="69"/>
      <x:c r="I69" s="69"/>
      <x:c r="J69" s="69"/>
    </x:row>
    <x:row r="70">
      <x:c r="A70" s="87" t="str">
        <x:v>今回追加</x:v>
      </x:c>
      <x:c r="B70" s="74" t="str">
        <x:v>レンタル</x:v>
      </x:c>
      <x:c r="C70" s="74" t="str">
        <x:v>Campaign Negative Phrase</x:v>
      </x:c>
      <x:c r="D70" s="74" t="str">
        <x:v>Enabled</x:v>
      </x:c>
      <x:c r="E70" s="88" t="str">
        <x:v>資金イベントAGの検索語句対策</x:v>
      </x:c>
      <x:c r="F70" s="69"/>
      <x:c r="G70" s="69"/>
      <x:c r="H70" s="69"/>
      <x:c r="I70" s="69"/>
      <x:c r="J70" s="69"/>
    </x:row>
    <x:row r="71">
      <x:c r="A71" s="87" t="str">
        <x:v>今回追加</x:v>
      </x:c>
      <x:c r="B71" s="74" t="str">
        <x:v>代車</x:v>
      </x:c>
      <x:c r="C71" s="74" t="str">
        <x:v>Campaign Negative Phrase</x:v>
      </x:c>
      <x:c r="D71" s="74" t="str">
        <x:v>Enabled</x:v>
      </x:c>
      <x:c r="E71" s="88" t="str">
        <x:v>資金イベントAGの検索語句対策</x:v>
      </x:c>
      <x:c r="F71" s="69"/>
      <x:c r="G71" s="69"/>
      <x:c r="H71" s="69"/>
      <x:c r="I71" s="69"/>
      <x:c r="J71" s="69"/>
    </x:row>
    <x:row r="72">
      <x:c r="A72" s="87" t="str">
        <x:v>今回追加</x:v>
      </x:c>
      <x:c r="B72" s="74" t="str">
        <x:v>ロードサービス</x:v>
      </x:c>
      <x:c r="C72" s="74" t="str">
        <x:v>Campaign Negative Phrase</x:v>
      </x:c>
      <x:c r="D72" s="74" t="str">
        <x:v>Enabled</x:v>
      </x:c>
      <x:c r="E72" s="88" t="str">
        <x:v>資金イベントAGの検索語句対策</x:v>
      </x:c>
      <x:c r="F72" s="69"/>
      <x:c r="G72" s="69"/>
      <x:c r="H72" s="69"/>
      <x:c r="I72" s="69"/>
      <x:c r="J72" s="69"/>
    </x:row>
    <x:row r="73">
      <x:c r="A73" s="87" t="str">
        <x:v>今回追加</x:v>
      </x:c>
      <x:c r="B73" s="74" t="str">
        <x:v>販売</x:v>
      </x:c>
      <x:c r="C73" s="74" t="str">
        <x:v>Campaign Negative Phrase</x:v>
      </x:c>
      <x:c r="D73" s="74" t="str">
        <x:v>Enabled</x:v>
      </x:c>
      <x:c r="E73" s="88" t="str">
        <x:v>資金イベントAGの検索語句対策</x:v>
      </x:c>
      <x:c r="F73" s="69"/>
      <x:c r="G73" s="69"/>
      <x:c r="H73" s="69"/>
      <x:c r="I73" s="69"/>
      <x:c r="J73" s="69"/>
    </x:row>
    <x:row r="74">
      <x:c r="A74" s="87" t="str">
        <x:v>今回追加</x:v>
      </x:c>
      <x:c r="B74" s="74" t="str">
        <x:v>中古車</x:v>
      </x:c>
      <x:c r="C74" s="74" t="str">
        <x:v>Campaign Negative Phrase</x:v>
      </x:c>
      <x:c r="D74" s="74" t="str">
        <x:v>Enabled</x:v>
      </x:c>
      <x:c r="E74" s="88" t="str">
        <x:v>資金イベントAGの検索語句対策</x:v>
      </x:c>
      <x:c r="F74" s="69"/>
      <x:c r="G74" s="69"/>
      <x:c r="H74" s="69"/>
      <x:c r="I74" s="69"/>
      <x:c r="J74" s="69"/>
    </x:row>
    <x:row r="75">
      <x:c r="A75" s="87" t="str">
        <x:v>今回追加</x:v>
      </x:c>
      <x:c r="B75" s="74" t="str">
        <x:v>価格</x:v>
      </x:c>
      <x:c r="C75" s="74" t="str">
        <x:v>Campaign Negative Phrase</x:v>
      </x:c>
      <x:c r="D75" s="74" t="str">
        <x:v>Enabled</x:v>
      </x:c>
      <x:c r="E75" s="88" t="str">
        <x:v>資金イベントAGの検索語句対策</x:v>
      </x:c>
      <x:c r="F75" s="69"/>
      <x:c r="G75" s="69"/>
      <x:c r="H75" s="69"/>
      <x:c r="I75" s="69"/>
      <x:c r="J75" s="69"/>
    </x:row>
    <x:row r="76">
      <x:c r="A76" s="87" t="str">
        <x:v>今回追加</x:v>
      </x:c>
      <x:c r="B76" s="74" t="str">
        <x:v>相場</x:v>
      </x:c>
      <x:c r="C76" s="74" t="str">
        <x:v>Campaign Negative Phrase</x:v>
      </x:c>
      <x:c r="D76" s="74" t="str">
        <x:v>Enabled</x:v>
      </x:c>
      <x:c r="E76" s="88" t="str">
        <x:v>資金イベントAGの検索語句対策</x:v>
      </x:c>
      <x:c r="F76" s="69"/>
      <x:c r="G76" s="69"/>
      <x:c r="H76" s="69"/>
      <x:c r="I76" s="69"/>
      <x:c r="J76" s="69"/>
    </x:row>
    <x:row r="77">
      <x:c r="A77" s="89" t="str">
        <x:v>今回追加</x:v>
      </x:c>
      <x:c r="B77" s="90" t="str">
        <x:v>傭車費 とは</x:v>
      </x:c>
      <x:c r="C77" s="90" t="str">
        <x:v>Campaign Negative Exact</x:v>
      </x:c>
      <x:c r="D77" s="90" t="str">
        <x:v>Enabled</x:v>
      </x:c>
      <x:c r="E77" s="92" t="str">
        <x:v>資金イベントAGの検索語句対策</x:v>
      </x:c>
      <x:c r="F77" s="69"/>
      <x:c r="G77" s="69"/>
      <x:c r="H77" s="69"/>
      <x:c r="I77" s="69"/>
      <x:c r="J77" s="69"/>
    </x:row>
  </x:sheetData>
  <x:mergeCells>
    <x:mergeCell ref="A1:J1"/>
    <x:mergeCell ref="A2:J2"/>
    <x:mergeCell ref="A4:J4"/>
    <x:mergeCell ref="A39:J39"/>
  </x:mergeCells>
  <x:conditionalFormatting sqref="A42:A77">
    <x:cfRule type="containsText" dxfId="5" priority="1" operator="containsText" text="今回追加"/>
  </x:conditionalFormatting>
  <x:dataValidations count="2">
    <x:dataValidation type="list" sqref="H7:H36">
      <x:formula1>"未判定,法人・資金需要あり,情報収集,個人,修理店・販売,求人,別商品"</x:formula1>
    </x:dataValidation>
    <x:dataValidation type="list" sqref="I7:I36">
      <x:formula1>"保留,完全一致へ追加,フレーズへ追加,除外追加,停止,LP確認"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5e772096936c4198"/>
    <x:tablePart xmlns:r="http://schemas.openxmlformats.org/officeDocument/2006/relationships" r:id="R2df06469effb43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70" hidden="0" customWidth="1"/>
    <x:col min="4" max="4" width="70" hidden="0" customWidth="1"/>
    <x:col min="5" max="5" width="70" hidden="0" customWidth="1"/>
    <x:col min="6" max="6" width="14" hidden="0" customWidth="1"/>
    <x:col min="7" max="7" width="30" hidden="0" customWidth="1"/>
  </x:cols>
  <x:sheetData>
    <x:row r="1" ht="30" customHeight="1">
      <x:c r="A1" s="68" t="str">
        <x:v>広告文管理｜RSAと共通アセット</x:v>
      </x:c>
      <x:c r="B1" s="69"/>
      <x:c r="C1" s="69"/>
      <x:c r="D1" s="69"/>
      <x:c r="E1" s="69"/>
      <x:c r="F1" s="69"/>
      <x:c r="G1" s="69"/>
    </x:row>
    <x:row r="2" ht="22" customHeight="1">
      <x:c r="A2" s="70" t="str">
        <x:v>広告文は『法人の運送会社』『300万円以上』で対象を事前に絞る。修正時は変更日と理由を残す。</x:v>
      </x:c>
      <x:c r="B2" s="69"/>
      <x:c r="C2" s="69"/>
      <x:c r="D2" s="69"/>
      <x:c r="E2" s="69"/>
      <x:c r="F2" s="69"/>
      <x:c r="G2" s="69"/>
    </x:row>
    <x:row r="3">
      <x:c r="A3" s="69"/>
      <x:c r="B3" s="69"/>
      <x:c r="C3" s="69"/>
      <x:c r="D3" s="69"/>
      <x:c r="E3" s="69"/>
      <x:c r="F3" s="69"/>
      <x:c r="G3" s="69"/>
    </x:row>
    <x:row r="4">
      <x:c r="A4" s="82" t="str">
        <x:v>RSA一覧</x:v>
      </x:c>
      <x:c r="B4" s="69"/>
      <x:c r="C4" s="69"/>
      <x:c r="D4" s="69"/>
      <x:c r="E4" s="69"/>
      <x:c r="F4" s="69"/>
      <x:c r="G4" s="69"/>
    </x:row>
    <x:row r="5">
      <x:c r="A5" s="69"/>
      <x:c r="B5" s="69"/>
      <x:c r="C5" s="69"/>
      <x:c r="D5" s="69"/>
      <x:c r="E5" s="69"/>
      <x:c r="F5" s="69"/>
      <x:c r="G5" s="69"/>
    </x:row>
    <x:row r="6" ht="30" customHeight="1">
      <x:c r="A6" s="75" t="str">
        <x:v>広告グループ</x:v>
      </x:c>
      <x:c r="B6" s="75" t="str">
        <x:v>見出し1（固定）</x:v>
      </x:c>
      <x:c r="C6" s="75" t="str">
        <x:v>見出し2〜15</x:v>
      </x:c>
      <x:c r="D6" s="75" t="str">
        <x:v>説明文1</x:v>
      </x:c>
      <x:c r="E6" s="75" t="str">
        <x:v>説明文2</x:v>
      </x:c>
      <x:c r="F6" s="75" t="str">
        <x:v>配信状態</x:v>
      </x:c>
      <x:c r="G6" s="75" t="str">
        <x:v>変更メモ</x:v>
      </x:c>
    </x:row>
    <x:row r="7" ht="48" customHeight="1">
      <x:c r="A7" s="83" t="str">
        <x:v>AG01 融資・事業資金</x:v>
      </x:c>
      <x:c r="B7" s="84" t="str">
        <x:v>法人の運送会社向け</x:v>
      </x:c>
      <x:c r="C7" s="84" t="str">
        <x:v>300万円以上の事業資金 / 仮査定は最短60分 / 全国対応・来店不要 / 300万円〜最大1億円 / 原則不動産担保不要 / 第三者保証人原則不要 / 運送会社の融資を探す方へ / 運送業の事業資金を確認 / 運送業の資金調達を検討 / 運送業向けビジネスローン / 銀行以外の資金調達も確認 / 急ぎの運転資金を探す方へ / 事業資金300万円以上 / 融資条件を仮査定で確認</x:v>
      </x:c>
      <x:c r="D7" s="84" t="str">
        <x:v>法人の運送会社向け。300万円以上の事業資金を仮査定で確認。最短60分・全国対応。</x:v>
      </x:c>
      <x:c r="E7" s="84" t="str">
        <x:v>300万円〜最大1億円、実質年率3.00〜15.00%。原則第三者保証人・不動産担保不要。</x:v>
      </x:c>
      <x:c r="F7" s="84" t="str">
        <x:v>Enabled</x:v>
      </x:c>
      <x:c r="G7" s="113" t="str"/>
    </x:row>
    <x:row r="8" ht="48" customHeight="1">
      <x:c r="A8" s="87" t="str">
        <x:v>AG02 資金不足・支払い</x:v>
      </x:c>
      <x:c r="B8" s="74" t="str">
        <x:v>法人の運送会社向け</x:v>
      </x:c>
      <x:c r="C8" s="74" t="str">
        <x:v>300万円以上の事業資金 / 仮査定は最短60分 / 全国対応・来店不要 / 300万円〜最大1億円 / 原則不動産担保不要 / 第三者保証人原則不要 / 運送会社の資金不足に / 支払いが迫る運送会社へ / 資金ショート対策を確認 / 燃料費の支払いでお困りなら / 給与支払いの資金を確認 / 急な支払いの事業資金 / 仕事はあるが資金が足りない / 資金繰りの選択肢を確認</x:v>
      </x:c>
      <x:c r="D8" s="74" t="str">
        <x:v>燃料費・給与・急な支払いなど、一時的な資金不足に。300万円以上の事業資金を確認。</x:v>
      </x:c>
      <x:c r="E8" s="74" t="str">
        <x:v>法人の運送会社向け。仮査定最短60分。全国対応・来店不要で事業資金の条件を確認。</x:v>
      </x:c>
      <x:c r="F8" s="74" t="str">
        <x:v>Enabled</x:v>
      </x:c>
      <x:c r="G8" s="117" t="str"/>
    </x:row>
    <x:row r="9" ht="48" customHeight="1">
      <x:c r="A9" s="87" t="str">
        <x:v>AG03 車両資金</x:v>
      </x:c>
      <x:c r="B9" s="74" t="str">
        <x:v>法人の運送会社向け</x:v>
      </x:c>
      <x:c r="C9" s="74" t="str">
        <x:v>300万円以上の事業資金 / 仮査定は最短60分 / 全国対応・来店不要 / 300万円〜最大1億円 / 原則不動産担保不要 / 第三者保証人原則不要 / トラック修理資金を確認 / 車両修理の事業資金 / トラック購入資金を確認 / 増車の資金調達を検討 / 車両費でお困りの法人へ / 急な修理費の資金対策 / 車両購入に300万円以上 / 運送会社の車両資金</x:v>
      </x:c>
      <x:c r="D9" s="74" t="str">
        <x:v>トラック修理・車両購入・増車など、まとまった車両資金が必要な法人運送会社向け。</x:v>
      </x:c>
      <x:c r="E9" s="74" t="str">
        <x:v>300万円以上の事業資金を仮査定で確認。審査最短60分、全国対応・来店不要。</x:v>
      </x:c>
      <x:c r="F9" s="74" t="str">
        <x:v>Enabled</x:v>
      </x:c>
      <x:c r="G9" s="117" t="str"/>
    </x:row>
    <x:row r="10" ht="48" customHeight="1">
      <x:c r="A10" s="87" t="str">
        <x:v>AG04 傭車・協力会社支払</x:v>
      </x:c>
      <x:c r="B10" s="74" t="str">
        <x:v>法人の運送会社限定</x:v>
      </x:c>
      <x:c r="C10" s="74" t="str">
        <x:v>傭車費の支払いがある法人へ / 協力会社への支払い前に / 傭車費・外注費の資金繰り / 仕事が増えた運送会社へ / 300万円以上の事業資金 / 仮査定は最短60分 / 全国対応・来店不要 / 300万円〜最大1億円 / 融資条件を確認 / 原則不動産担保不要 / 第三者保証人原則不要 / 運送業向けビジネスローン / 代表者の連帯保証が必要 / 条件を仮査定で確認</x:v>
      </x:c>
      <x:c r="D10" s="74" t="str">
        <x:v>傭車費・外注費など、先行支出の資金繰りを検討する法人運送会社へ。融資条件を確認。</x:v>
      </x:c>
      <x:c r="E10" s="74" t="str">
        <x:v>300万円〜最大1億円。最短60分の仮査定に対応、全国から来店不要で相談できます。</x:v>
      </x:c>
      <x:c r="F10" s="74" t="str">
        <x:v>Enabled</x:v>
      </x:c>
      <x:c r="G10" s="117" t="str"/>
    </x:row>
    <x:row r="11" ht="48" customHeight="1">
      <x:c r="A11" s="87" t="str">
        <x:v>AG05 受注増・入金ギャップ</x:v>
      </x:c>
      <x:c r="B11" s="74" t="str">
        <x:v>法人の運送会社限定</x:v>
      </x:c>
      <x:c r="C11" s="74" t="str">
        <x:v>大口受注・増便の資金 / 繁忙期の運転資金に / 荷主の入金待ちにも / 仕事が増えた会社へ / 300万円以上の事業資金 / 仮査定は最短60分 / 全国対応・来店不要 / 300万円〜最大1億円 / 資金繰りの選択肢 / 融資条件を確認 / 原則不動産担保不要 / 第三者保証人原則不要 / 運送業向けビジネスローン / 代表者の連帯保証が必要</x:v>
      </x:c>
      <x:c r="D11" s="74" t="str">
        <x:v>増便・繁忙期・入金待ちで運転資金が必要な法人運送会社へ。融資条件を確認。</x:v>
      </x:c>
      <x:c r="E11" s="74" t="str">
        <x:v>300万円〜最大1億円。最短60分の仮査定に対応、全国から来店不要で相談できます。</x:v>
      </x:c>
      <x:c r="F11" s="74" t="str">
        <x:v>Enabled</x:v>
      </x:c>
      <x:c r="G11" s="117" t="str"/>
    </x:row>
    <x:row r="12" ht="48" customHeight="1">
      <x:c r="A12" s="87" t="str">
        <x:v>AG06 車両導入・リース否決</x:v>
      </x:c>
      <x:c r="B12" s="74" t="str">
        <x:v>法人の運送会社限定</x:v>
      </x:c>
      <x:c r="C12" s="74" t="str">
        <x:v>車両導入の資金を確認 / トラック増車の事業資金 / リース審査後の選択肢 / 車両費でお困りの法人へ / 300万円以上の事業資金 / 仮査定は最短60分 / 全国対応・来店不要 / 300万円〜最大1億円 / 融資条件を確認 / 原則不動産担保不要 / 第三者保証人原則不要 / 運送会社の車両資金 / 運送業向けビジネスローン / 代表者の連帯保証が必要</x:v>
      </x:c>
      <x:c r="D12" s="74" t="str">
        <x:v>増車・車両導入など、まとまった資金が必要な法人運送会社へ。融資条件を確認。</x:v>
      </x:c>
      <x:c r="E12" s="74" t="str">
        <x:v>300万円〜最大1億円。最短60分の仮査定に対応、全国から来店不要で相談できます。</x:v>
      </x:c>
      <x:c r="F12" s="74" t="str">
        <x:v>Enabled</x:v>
      </x:c>
      <x:c r="G12" s="117" t="str"/>
    </x:row>
    <x:row r="13" ht="48" customHeight="1">
      <x:c r="A13" s="89" t="str">
        <x:v>AG07 事故・稼働復旧</x:v>
      </x:c>
      <x:c r="B13" s="90" t="str">
        <x:v>法人の運送会社限定</x:v>
      </x:c>
      <x:c r="C13" s="90" t="str">
        <x:v>事故後の車両資金を確認 / 運送会社の稼働継続に / 修理・買替の事業資金 / 保険金待ちの資金繰り / 300万円以上の事業資金 / 仮査定は最短60分 / 全国対応・来店不要 / 300万円〜最大1億円 / 融資条件を確認 / 原則不動産担保不要 / 第三者保証人原則不要 / 車両事故後の資金を確認 / 運送業向けビジネスローン / 代表者の連帯保証が必要</x:v>
      </x:c>
      <x:c r="D13" s="90" t="str">
        <x:v>事故後の修理・買替など、稼働継続の資金が必要な法人運送会社へ。融資条件を確認。</x:v>
      </x:c>
      <x:c r="E13" s="90" t="str">
        <x:v>300万円〜最大1億円。最短60分の仮査定に対応、全国から来店不要で相談できます。</x:v>
      </x:c>
      <x:c r="F13" s="90" t="str">
        <x:v>Enabled</x:v>
      </x:c>
      <x:c r="G13" s="121" t="str"/>
    </x:row>
    <x:row r="14">
      <x:c r="A14" s="69"/>
      <x:c r="B14" s="69"/>
      <x:c r="C14" s="69"/>
      <x:c r="D14" s="69"/>
      <x:c r="E14" s="69"/>
      <x:c r="F14" s="69"/>
      <x:c r="G14" s="69"/>
    </x:row>
    <x:row r="15">
      <x:c r="A15" s="69"/>
      <x:c r="B15" s="69"/>
      <x:c r="C15" s="69"/>
      <x:c r="D15" s="69"/>
      <x:c r="E15" s="69"/>
      <x:c r="F15" s="69"/>
      <x:c r="G15" s="69"/>
    </x:row>
    <x:row r="16">
      <x:c r="A16" s="69"/>
      <x:c r="B16" s="69"/>
      <x:c r="C16" s="69"/>
      <x:c r="D16" s="69"/>
      <x:c r="E16" s="69"/>
      <x:c r="F16" s="69"/>
      <x:c r="G16" s="69"/>
    </x:row>
    <x:row r="17">
      <x:c r="A17" s="93" t="str">
        <x:v>共通アセット（既存の共通探索CPをそのまま使用）</x:v>
      </x:c>
      <x:c r="B17" s="69"/>
      <x:c r="C17" s="69"/>
      <x:c r="D17" s="69"/>
      <x:c r="E17" s="69"/>
      <x:c r="F17" s="69"/>
      <x:c r="G17" s="69"/>
    </x:row>
    <x:row r="18">
      <x:c r="A18" s="69"/>
      <x:c r="B18" s="69"/>
      <x:c r="C18" s="69"/>
      <x:c r="D18" s="69"/>
      <x:c r="E18" s="69"/>
      <x:c r="F18" s="69"/>
      <x:c r="G18" s="69"/>
    </x:row>
    <x:row r="19" ht="30" customHeight="1">
      <x:c r="A19" s="75" t="str">
        <x:v>種類</x:v>
      </x:c>
      <x:c r="B19" s="75" t="str">
        <x:v>文言</x:v>
      </x:c>
      <x:c r="C19" s="75" t="str">
        <x:v>遷移先・補足</x:v>
      </x:c>
      <x:c r="D19" s="69"/>
      <x:c r="E19" s="69"/>
      <x:c r="F19" s="69"/>
      <x:c r="G19" s="69"/>
    </x:row>
    <x:row r="20">
      <x:c r="A20" s="83" t="str">
        <x:v>サイトリンク</x:v>
      </x:c>
      <x:c r="B20" s="84" t="str">
        <x:v>貸付条件を確認</x:v>
      </x:c>
      <x:c r="C20" s="86" t="str">
        <x:v>https://unsou-shikin.hakobu-family.com/actwill/#terms</x:v>
      </x:c>
      <x:c r="D20" s="69"/>
      <x:c r="E20" s="69"/>
      <x:c r="F20" s="69"/>
      <x:c r="G20" s="69"/>
    </x:row>
    <x:row r="21">
      <x:c r="A21" s="87" t="str">
        <x:v>サイトリンク</x:v>
      </x:c>
      <x:c r="B21" s="74" t="str">
        <x:v>対象法人を確認</x:v>
      </x:c>
      <x:c r="C21" s="88" t="str">
        <x:v>https://unsou-shikin.hakobu-family.com/actwill/#check</x:v>
      </x:c>
      <x:c r="D21" s="69"/>
      <x:c r="E21" s="69"/>
      <x:c r="F21" s="69"/>
      <x:c r="G21" s="69"/>
    </x:row>
    <x:row r="22">
      <x:c r="A22" s="87" t="str">
        <x:v>サイトリンク</x:v>
      </x:c>
      <x:c r="B22" s="74" t="str">
        <x:v>申込みの流れ</x:v>
      </x:c>
      <x:c r="C22" s="88" t="str">
        <x:v>https://unsou-shikin.hakobu-family.com/actwill/#flow</x:v>
      </x:c>
      <x:c r="D22" s="69"/>
      <x:c r="E22" s="69"/>
      <x:c r="F22" s="69"/>
      <x:c r="G22" s="69"/>
    </x:row>
    <x:row r="23">
      <x:c r="A23" s="87" t="str">
        <x:v>サイトリンク</x:v>
      </x:c>
      <x:c r="B23" s="74" t="str">
        <x:v>よくある質問</x:v>
      </x:c>
      <x:c r="C23" s="88" t="str">
        <x:v>https://unsou-shikin.hakobu-family.com/actwill/#faq</x:v>
      </x:c>
      <x:c r="D23" s="69"/>
      <x:c r="E23" s="69"/>
      <x:c r="F23" s="69"/>
      <x:c r="G23" s="69"/>
    </x:row>
    <x:row r="24">
      <x:c r="A24" s="87" t="str">
        <x:v>サイトリンク</x:v>
      </x:c>
      <x:c r="B24" s="74" t="str">
        <x:v>資金調達を比較</x:v>
      </x:c>
      <x:c r="C24" s="88" t="str">
        <x:v>https://unsou-shikin.hakobu-family.com/actwill/#compare</x:v>
      </x:c>
      <x:c r="D24" s="69"/>
      <x:c r="E24" s="69"/>
      <x:c r="F24" s="69"/>
      <x:c r="G24" s="69"/>
    </x:row>
    <x:row r="25">
      <x:c r="A25" s="87" t="str">
        <x:v>コールアウト</x:v>
      </x:c>
      <x:c r="B25" s="74" t="str">
        <x:v>法人の運送会社向け</x:v>
      </x:c>
      <x:c r="C25" s="88" t="str"/>
      <x:c r="D25" s="69"/>
      <x:c r="E25" s="69"/>
      <x:c r="F25" s="69"/>
      <x:c r="G25" s="69"/>
    </x:row>
    <x:row r="26">
      <x:c r="A26" s="87" t="str">
        <x:v>コールアウト</x:v>
      </x:c>
      <x:c r="B26" s="74" t="str">
        <x:v>300万円〜最大1億円</x:v>
      </x:c>
      <x:c r="C26" s="88" t="str"/>
      <x:c r="D26" s="69"/>
      <x:c r="E26" s="69"/>
      <x:c r="F26" s="69"/>
      <x:c r="G26" s="69"/>
    </x:row>
    <x:row r="27">
      <x:c r="A27" s="87" t="str">
        <x:v>コールアウト</x:v>
      </x:c>
      <x:c r="B27" s="74" t="str">
        <x:v>仮査定最短60分</x:v>
      </x:c>
      <x:c r="C27" s="88" t="str"/>
      <x:c r="D27" s="69"/>
      <x:c r="E27" s="69"/>
      <x:c r="F27" s="69"/>
      <x:c r="G27" s="69"/>
    </x:row>
    <x:row r="28">
      <x:c r="A28" s="87" t="str">
        <x:v>コールアウト</x:v>
      </x:c>
      <x:c r="B28" s="74" t="str">
        <x:v>全国対応・来店不要</x:v>
      </x:c>
      <x:c r="C28" s="88" t="str"/>
      <x:c r="D28" s="69"/>
      <x:c r="E28" s="69"/>
      <x:c r="F28" s="69"/>
      <x:c r="G28" s="69"/>
    </x:row>
    <x:row r="29">
      <x:c r="A29" s="87" t="str">
        <x:v>コールアウト</x:v>
      </x:c>
      <x:c r="B29" s="74" t="str">
        <x:v>原則不動産担保不要</x:v>
      </x:c>
      <x:c r="C29" s="88" t="str"/>
      <x:c r="D29" s="69"/>
      <x:c r="E29" s="69"/>
      <x:c r="F29" s="69"/>
      <x:c r="G29" s="69"/>
    </x:row>
    <x:row r="30">
      <x:c r="A30" s="87" t="str">
        <x:v>コールアウト</x:v>
      </x:c>
      <x:c r="B30" s="74" t="str">
        <x:v>第三者保証人原則不要</x:v>
      </x:c>
      <x:c r="C30" s="88" t="str"/>
      <x:c r="D30" s="69"/>
      <x:c r="E30" s="69"/>
      <x:c r="F30" s="69"/>
      <x:c r="G30" s="69"/>
    </x:row>
    <x:row r="31">
      <x:c r="A31" s="89" t="str">
        <x:v>コールアウト</x:v>
      </x:c>
      <x:c r="B31" s="90" t="str">
        <x:v>実質年率3〜15%</x:v>
      </x:c>
      <x:c r="C31" s="92" t="str"/>
      <x:c r="D31" s="69"/>
      <x:c r="E31" s="69"/>
      <x:c r="F31" s="69"/>
      <x:c r="G31" s="69"/>
    </x:row>
  </x:sheetData>
  <x:mergeCells>
    <x:mergeCell ref="A1:G1"/>
    <x:mergeCell ref="A2:G2"/>
    <x:mergeCell ref="A4:G4"/>
    <x:mergeCell ref="A17:G17"/>
  </x:mergeCells>
  <x:pageMargins left="0.7" right="0.7" top="0.75" bottom="0.75" header="0.3" footer="0.3"/>
  <x:tableParts count="2">
    <x:tablePart xmlns:r="http://schemas.openxmlformats.org/officeDocument/2006/relationships" r:id="R62e316c3485844fc"/>
    <x:tablePart xmlns:r="http://schemas.openxmlformats.org/officeDocument/2006/relationships" r:id="Rf7799a03920944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78" hidden="0" customWidth="1"/>
    <x:col min="4" max="4" width="3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68" t="str">
        <x:v>運用ルール・出典</x:v>
      </x:c>
      <x:c r="B1" s="69"/>
      <x:c r="C1" s="69"/>
      <x:c r="D1" s="69"/>
      <x:c r="E1" s="69"/>
      <x:c r="F1" s="69"/>
      <x:c r="G1" s="69"/>
      <x:c r="H1" s="69"/>
    </x:row>
    <x:row r="2" ht="22" customHeight="1">
      <x:c r="A2" s="70" t="str">
        <x:v>管理表の前提と、初回KWP観測・GAEファイルの保存場所を記録。</x:v>
      </x:c>
      <x:c r="B2" s="69"/>
      <x:c r="C2" s="69"/>
      <x:c r="D2" s="69"/>
      <x:c r="E2" s="69"/>
      <x:c r="F2" s="69"/>
      <x:c r="G2" s="69"/>
      <x:c r="H2" s="69"/>
    </x:row>
    <x:row r="3">
      <x:c r="A3" s="69"/>
      <x:c r="B3" s="69"/>
      <x:c r="C3" s="69"/>
      <x:c r="D3" s="69"/>
      <x:c r="E3" s="69"/>
      <x:c r="F3" s="69"/>
      <x:c r="G3" s="69"/>
      <x:c r="H3" s="69"/>
    </x:row>
    <x:row r="4">
      <x:c r="A4" s="82" t="str">
        <x:v>運用の前提</x:v>
      </x:c>
      <x:c r="B4" s="69"/>
      <x:c r="C4" s="69"/>
      <x:c r="D4" s="69"/>
      <x:c r="E4" s="69"/>
      <x:c r="F4" s="69"/>
      <x:c r="G4" s="69"/>
      <x:c r="H4" s="69"/>
    </x:row>
    <x:row r="5">
      <x:c r="A5" s="69"/>
      <x:c r="B5" s="69"/>
      <x:c r="C5" s="69"/>
      <x:c r="D5" s="69"/>
      <x:c r="E5" s="69"/>
      <x:c r="F5" s="69"/>
      <x:c r="G5" s="69"/>
      <x:c r="H5" s="69"/>
    </x:row>
    <x:row r="6" ht="30" customHeight="1">
      <x:c r="A6" s="75" t="str">
        <x:v>項目</x:v>
      </x:c>
      <x:c r="B6" s="75" t="str">
        <x:v>内容</x:v>
      </x:c>
      <x:c r="C6" s="75" t="str">
        <x:v>入力・確認のタイミング</x:v>
      </x:c>
      <x:c r="D6" s="75" t="str">
        <x:v>注意</x:v>
      </x:c>
      <x:c r="E6" s="69"/>
      <x:c r="F6" s="69"/>
      <x:c r="G6" s="69"/>
      <x:c r="H6" s="69"/>
    </x:row>
    <x:row r="7" ht="32" customHeight="1">
      <x:c r="A7" s="83" t="str">
        <x:v>キャンペーン</x:v>
      </x:c>
      <x:c r="B7" s="84" t="str">
        <x:v>共通探索CP</x:v>
      </x:c>
      <x:c r="C7" s="84" t="str">
        <x:v>GAE取込み前</x:v>
      </x:c>
      <x:c r="D7" s="86" t="str">
        <x:v>新規CPを作らず、既存CP内のAGで比較する</x:v>
      </x:c>
      <x:c r="E7" s="69"/>
      <x:c r="F7" s="69"/>
      <x:c r="G7" s="69"/>
      <x:c r="H7" s="69"/>
    </x:row>
    <x:row r="8" ht="32" customHeight="1">
      <x:c r="A8" s="87" t="str">
        <x:v>初期予算</x:v>
      </x:c>
      <x:c r="B8" s="74" t="str">
        <x:v>日額2,000円 / 7日14,000円</x:v>
      </x:c>
      <x:c r="C8" s="74" t="str">
        <x:v>配信前</x:v>
      </x:c>
      <x:c r="D8" s="88" t="str">
        <x:v>低検索量のため使い切らない可能性がある</x:v>
      </x:c>
      <x:c r="E8" s="69"/>
      <x:c r="F8" s="69"/>
      <x:c r="G8" s="69"/>
      <x:c r="H8" s="69"/>
    </x:row>
    <x:row r="9" ht="32" customHeight="1">
      <x:c r="A9" s="87" t="str">
        <x:v>初期入札</x:v>
      </x:c>
      <x:c r="B9" s="74" t="str">
        <x:v>手動CPC 50円</x:v>
      </x:c>
      <x:c r="C9" s="74" t="str">
        <x:v>配信前</x:v>
      </x:c>
      <x:c r="D9" s="88" t="str">
        <x:v>KWP低額帯ではなく、低額テスト開始値</x:v>
      </x:c>
      <x:c r="E9" s="69"/>
      <x:c r="F9" s="69"/>
      <x:c r="G9" s="69"/>
      <x:c r="H9" s="69"/>
    </x:row>
    <x:row r="10" ht="32" customHeight="1">
      <x:c r="A10" s="87" t="str">
        <x:v>対象</x:v>
      </x:c>
      <x:c r="B10" s="74" t="str">
        <x:v>法人の運送会社 / 300万円以上</x:v>
      </x:c>
      <x:c r="C10" s="74" t="str">
        <x:v>広告文・検索語句確認</x:v>
      </x:c>
      <x:c r="D10" s="88" t="str">
        <x:v>個人・少額・求人を除く</x:v>
      </x:c>
      <x:c r="E10" s="69"/>
      <x:c r="F10" s="69"/>
      <x:c r="G10" s="69"/>
      <x:c r="H10" s="69"/>
    </x:row>
    <x:row r="11" ht="32" customHeight="1">
      <x:c r="A11" s="87" t="str">
        <x:v>MCV</x:v>
      </x:c>
      <x:c r="B11" s="74" t="str">
        <x:v>記事LPから公式サイトへのCTAクリック</x:v>
      </x:c>
      <x:c r="C11" s="74" t="str">
        <x:v>日次</x:v>
      </x:c>
      <x:c r="D11" s="88" t="str">
        <x:v>Google広告とGA4の連携を確認する</x:v>
      </x:c>
      <x:c r="E11" s="69"/>
      <x:c r="F11" s="69"/>
      <x:c r="G11" s="69"/>
      <x:c r="H11" s="69"/>
    </x:row>
    <x:row r="12" ht="32" customHeight="1">
      <x:c r="A12" s="87" t="str">
        <x:v>最終成果</x:v>
      </x:c>
      <x:c r="B12" s="74" t="str">
        <x:v>WEB申込・問合せ後30日以内の仮査定完了</x:v>
      </x:c>
      <x:c r="C12" s="74" t="str">
        <x:v>A8確定後</x:v>
      </x:c>
      <x:c r="D12" s="88" t="str">
        <x:v>最終CVゼロだけで早期停止しない</x:v>
      </x:c>
      <x:c r="E12" s="69"/>
      <x:c r="F12" s="69"/>
      <x:c r="G12" s="69"/>
      <x:c r="H12" s="69"/>
    </x:row>
    <x:row r="13" ht="32" customHeight="1">
      <x:c r="A13" s="89" t="str">
        <x:v>判断優先</x:v>
      </x:c>
      <x:c r="B13" s="90" t="str">
        <x:v>成約意図 → 低CPC → 配信量</x:v>
      </x:c>
      <x:c r="C13" s="90" t="str">
        <x:v>日次</x:v>
      </x:c>
      <x:c r="D13" s="92" t="str">
        <x:v>CTRだけで最適化しない</x:v>
      </x:c>
      <x:c r="E13" s="69"/>
      <x:c r="F13" s="69"/>
      <x:c r="G13" s="69"/>
      <x:c r="H13" s="69"/>
    </x:row>
    <x:row r="14">
      <x:c r="A14" s="69"/>
      <x:c r="B14" s="69"/>
      <x:c r="C14" s="69"/>
      <x:c r="D14" s="69"/>
      <x:c r="E14" s="69"/>
      <x:c r="F14" s="69"/>
      <x:c r="G14" s="69"/>
      <x:c r="H14" s="69"/>
    </x:row>
    <x:row r="15">
      <x:c r="A15" s="69"/>
      <x:c r="B15" s="69"/>
      <x:c r="C15" s="69"/>
      <x:c r="D15" s="69"/>
      <x:c r="E15" s="69"/>
      <x:c r="F15" s="69"/>
      <x:c r="G15" s="69"/>
      <x:c r="H15" s="69"/>
    </x:row>
    <x:row r="16">
      <x:c r="A16" s="93" t="str">
        <x:v>出典・保存先</x:v>
      </x:c>
      <x:c r="B16" s="69"/>
      <x:c r="C16" s="69"/>
      <x:c r="D16" s="69"/>
      <x:c r="E16" s="69"/>
      <x:c r="F16" s="69"/>
      <x:c r="G16" s="69"/>
      <x:c r="H16" s="69"/>
    </x:row>
    <x:row r="17">
      <x:c r="A17" s="69"/>
      <x:c r="B17" s="69"/>
      <x:c r="C17" s="69"/>
      <x:c r="D17" s="69"/>
      <x:c r="E17" s="69"/>
      <x:c r="F17" s="69"/>
      <x:c r="G17" s="69"/>
      <x:c r="H17" s="69"/>
    </x:row>
    <x:row r="18" ht="30" customHeight="1">
      <x:c r="A18" s="75" t="str">
        <x:v>資料</x:v>
      </x:c>
      <x:c r="B18" s="75" t="str">
        <x:v>内容</x:v>
      </x:c>
      <x:c r="C18" s="75" t="str">
        <x:v>保存先</x:v>
      </x:c>
      <x:c r="D18" s="69"/>
      <x:c r="E18" s="69"/>
      <x:c r="F18" s="69"/>
      <x:c r="G18" s="69"/>
      <x:c r="H18" s="69"/>
    </x:row>
    <x:row r="19" ht="38" customHeight="1">
      <x:c r="A19" s="83" t="str">
        <x:v>KWP初回観測</x:v>
      </x:c>
      <x:c r="B19" s="84" t="str">
        <x:v>2025年7月〜2026年6月、日本・日本語・Google。入札単価は実CPCの保証ではない。</x:v>
      </x:c>
      <x:c r="C19" s="86" t="str">
        <x:v>reports/ppc-launch/2026-08-12-actwill-pre-keyword-strategy/03_KWP初回観測.md</x:v>
      </x:c>
      <x:c r="D19" s="69"/>
      <x:c r="E19" s="69"/>
      <x:c r="F19" s="69"/>
      <x:c r="G19" s="69"/>
      <x:c r="H19" s="69"/>
    </x:row>
    <x:row r="20" ht="38" customHeight="1">
      <x:c r="A20" s="87" t="str">
        <x:v>検索意図マップ</x:v>
      </x:c>
      <x:c r="B20" s="74" t="str">
        <x:v>傭車・受注増・車両導入・事故復旧を優先。</x:v>
      </x:c>
      <x:c r="C20" s="88" t="str">
        <x:v>reports/ppc-launch/2026-08-12-actwill-pre-keyword-strategy/02_検索意図マップとKWP投入種.md</x:v>
      </x:c>
      <x:c r="D20" s="69"/>
      <x:c r="E20" s="69"/>
      <x:c r="F20" s="69"/>
      <x:c r="G20" s="69"/>
      <x:c r="H20" s="69"/>
    </x:row>
    <x:row r="21" ht="38" customHeight="1">
      <x:c r="A21" s="87" t="str">
        <x:v>既存GAE</x:v>
      </x:c>
      <x:c r="B21" s="74" t="str">
        <x:v>共通探索CPのAG01〜AG03・共通除外・アセット。</x:v>
      </x:c>
      <x:c r="C21" s="88" t="str">
        <x:v>reports/ppc-launch/2026-08-11-actwill-unsou-gae/</x:v>
      </x:c>
      <x:c r="D21" s="69"/>
      <x:c r="E21" s="69"/>
      <x:c r="F21" s="69"/>
      <x:c r="G21" s="69"/>
      <x:c r="H21" s="69"/>
    </x:row>
    <x:row r="22" ht="38" customHeight="1">
      <x:c r="A22" s="87" t="str">
        <x:v>追加GAE</x:v>
      </x:c>
      <x:c r="B22" s="74" t="str">
        <x:v>共通探索CPにAG04〜AG07を追加。</x:v>
      </x:c>
      <x:c r="C22" s="88" t="str">
        <x:v>reports/ppc-launch/2026-08-12-actwill-hidden-intent-add-ag-gae/</x:v>
      </x:c>
      <x:c r="D22" s="69"/>
      <x:c r="E22" s="69"/>
      <x:c r="F22" s="69"/>
      <x:c r="G22" s="69"/>
      <x:c r="H22" s="69"/>
    </x:row>
    <x:row r="23" ht="38" customHeight="1">
      <x:c r="A23" s="89" t="str">
        <x:v>LP</x:v>
      </x:c>
      <x:c r="B23" s="90" t="str">
        <x:v>アクト・ウィル紹介記事LP。</x:v>
      </x:c>
      <x:c r="C23" s="92" t="str">
        <x:v>https://unsou-shikin.hakobu-family.com/actwill/</x:v>
      </x:c>
      <x:c r="D23" s="69"/>
      <x:c r="E23" s="69"/>
      <x:c r="F23" s="69"/>
      <x:c r="G23" s="69"/>
      <x:c r="H23" s="69"/>
    </x:row>
  </x:sheetData>
  <x:mergeCells>
    <x:mergeCell ref="A1:H1"/>
    <x:mergeCell ref="A2:H2"/>
    <x:mergeCell ref="A4:H4"/>
    <x:mergeCell ref="A16:H16"/>
  </x:mergeCells>
  <x:pageMargins left="0.7" right="0.7" top="0.75" bottom="0.75" header="0.3" footer="0.3"/>
</x:worksheet>
</file>